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  <sheet state="visible" name="Ejemplo" sheetId="17" r:id="rId20"/>
  </sheets>
  <definedNames/>
  <calcPr/>
  <extLst>
    <ext uri="GoogleSheetsCustomDataVersion2">
      <go:sheetsCustomData xmlns:go="http://customooxmlschemas.google.com/" r:id="rId21" roundtripDataChecksum="hda9PNWBQcTU16ggnTZsAsUrYyYN3soMVvFxGyonwcM="/>
    </ext>
  </extLst>
</workbook>
</file>

<file path=xl/sharedStrings.xml><?xml version="1.0" encoding="utf-8"?>
<sst xmlns="http://schemas.openxmlformats.org/spreadsheetml/2006/main" count="692" uniqueCount="147">
  <si>
    <t>Número</t>
  </si>
  <si>
    <t>Nombre de la Meta</t>
  </si>
  <si>
    <t>Descripcion de la Meta</t>
  </si>
  <si>
    <t xml:space="preserve"> Comprender la sintaxis SQL básica</t>
  </si>
  <si>
    <t>Aprender y aplicar la sintaxis básica de SQL para crear y ejecutar sentencias SQL con el objetivo de consultar, recurepar, modificar y eliminar datos en una base de datos.</t>
  </si>
  <si>
    <t>Definición del diseño de datos con DDL (Data Definition Language)</t>
  </si>
  <si>
    <t>Utilizar herramientas de análisis y diseño de las bases de datos</t>
  </si>
  <si>
    <t>Manipulación de datos con DML (Data Manipulation Language)</t>
  </si>
  <si>
    <t>Utilizar sentencias SQL como INSERT, UPDATE y DELETE para manipular datos dentro de tablas de una base de datos, garantizando la integridad y consistencia de los datos.</t>
  </si>
  <si>
    <t>Creación de consultas avanzadas utilizando subconsultas y operadores de conjunto</t>
  </si>
  <si>
    <t>Desarrollar consultas SQL complejas que involucren el uso de subconsultas, operadores de conjunto (UNION, INTERSECT, EXCEPT) y condiciones lógicas para combinar y recuperar datos de múltiples tablas.</t>
  </si>
  <si>
    <t>Implementación de controles de acceso y privilegios en la base de datos</t>
  </si>
  <si>
    <t xml:space="preserve"> Establecer y gestionar privilegios de usuarios en la base de datos mediante las sentencias GRANT y REVOKE, garantizando un acceso seguro y controlado a los datos y objetos del esquema.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</si>
  <si>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</si>
  <si>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</si>
  <si>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</si>
  <si>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</si>
  <si>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</si>
  <si>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</si>
  <si>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</si>
  <si>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Introducción a Consultas</t>
  </si>
  <si>
    <t>Introducción al laboratorio</t>
  </si>
  <si>
    <t>Presentación del auxiliar</t>
  </si>
  <si>
    <t>Lectura del programa del laboratorio</t>
  </si>
  <si>
    <t>Oracle Application Express</t>
  </si>
  <si>
    <t>Tecnología de Base de Datos Relacional</t>
  </si>
  <si>
    <t>Anatomía de una Sentencia SQL</t>
  </si>
  <si>
    <t>SELECT y WHERE</t>
  </si>
  <si>
    <t>Columnas, Caracteres y Filas</t>
  </si>
  <si>
    <t>Limitación de Filas Seleccionadas</t>
  </si>
  <si>
    <t>Operadores de Comparación</t>
  </si>
  <si>
    <t>WHERE, ORDER BY e Introducción a las Funciones</t>
  </si>
  <si>
    <t>Comparaciones Lógicas y Reglas de Prioridad</t>
  </si>
  <si>
    <t>Ordenación de Filas</t>
  </si>
  <si>
    <t>Introducción a las Funciones</t>
  </si>
  <si>
    <t xml:space="preserve">Funciones de Una Sola Fila </t>
  </si>
  <si>
    <t>Manipulación de Mayúsculas/Minúsculas y de Caracteres</t>
  </si>
  <si>
    <t>Funciones Numéricas</t>
  </si>
  <si>
    <t>Funciones de Fecha</t>
  </si>
  <si>
    <t>Funciones de Conversión</t>
  </si>
  <si>
    <t>Funciones NULL</t>
  </si>
  <si>
    <t>Expresiones Condicionales</t>
  </si>
  <si>
    <t>Consultas Avanzadas</t>
  </si>
  <si>
    <t>JOIN Parte I</t>
  </si>
  <si>
    <t>Uniones Cruzadas y Uniones Naturales</t>
  </si>
  <si>
    <t>Cláusulas de Unión</t>
  </si>
  <si>
    <t>Uniones Internas frente a Uniones Externas</t>
  </si>
  <si>
    <t>Autouniones y Consultas Jerárquicas</t>
  </si>
  <si>
    <t>JOIN Parte II</t>
  </si>
  <si>
    <t>Unión Igualitaria y Producto Cartesiano de Oracle</t>
  </si>
  <si>
    <t>Uniones No Igualitarias y Uniones Externas de Oracle</t>
  </si>
  <si>
    <t>Funciones de Grupo Parte I</t>
  </si>
  <si>
    <t>Funciones de Grupo</t>
  </si>
  <si>
    <t>COUNT, DISTINCT, NVL</t>
  </si>
  <si>
    <t xml:space="preserve">Funciones de Grupo Parte II </t>
  </si>
  <si>
    <t>Uso de las Cláusulas Group By y Having</t>
  </si>
  <si>
    <t>Uso de las Operaciones Rollup y Cube, y Grouping Sets</t>
  </si>
  <si>
    <t>Uso de los Operadores SET</t>
  </si>
  <si>
    <t>Diseño de base de datos</t>
  </si>
  <si>
    <t>Subconsultas</t>
  </si>
  <si>
    <t>Conceptos Fundamentales de las Subconsultas</t>
  </si>
  <si>
    <t>Subconsultas de Una Sola Fila</t>
  </si>
  <si>
    <t>Subconsultas de Varias Filas</t>
  </si>
  <si>
    <t>Subconsultas Correlacionadas</t>
  </si>
  <si>
    <t xml:space="preserve">Resumen de Mitad de Curso y Garantía de Consultas de Calidad Y DML </t>
  </si>
  <si>
    <t>Resumen de Mitad de Curso</t>
  </si>
  <si>
    <t>Garantía de Resultados de Consultas de Calidad</t>
  </si>
  <si>
    <t>Sentencias INSERT</t>
  </si>
  <si>
    <t>Actualización de Valores de Columna y Supresión de Filas</t>
  </si>
  <si>
    <t>Valores DEFAULT, MERGE e Inserciones en Varias Tablas</t>
  </si>
  <si>
    <t xml:space="preserve"> DDL</t>
  </si>
  <si>
    <t>Creación de Tablas</t>
  </si>
  <si>
    <t>Uso de Tipos de Dato</t>
  </si>
  <si>
    <t>Modificación de una Tabla</t>
  </si>
  <si>
    <t>Restricciones</t>
  </si>
  <si>
    <t>Introducción a las restricciones; restricciones NOT NULL y UNIQUE</t>
  </si>
  <si>
    <t>Restricciones PRIMARY KEY, FOREIGN KEY y CHECK</t>
  </si>
  <si>
    <t>Gestión de Restricciones</t>
  </si>
  <si>
    <t>Generacion de Reportes</t>
  </si>
  <si>
    <t>Vistas</t>
  </si>
  <si>
    <t>Creación de Vistas</t>
  </si>
  <si>
    <t>Operaciones DML y Vistas</t>
  </si>
  <si>
    <t>Gestión de Vistas</t>
  </si>
  <si>
    <t>Secuencias, Sinónimos y TCL</t>
  </si>
  <si>
    <t>Trabajar con Secuencias</t>
  </si>
  <si>
    <t>Índices y Sinónimos</t>
  </si>
  <si>
    <t>Control del Acceso de los Usuarios</t>
  </si>
  <si>
    <t>Creación y Revocación de Privilegios de Objeto</t>
  </si>
  <si>
    <t>Expresiones Regulares</t>
  </si>
  <si>
    <t>Transacciones de Base de Datos</t>
  </si>
  <si>
    <t>Mes</t>
  </si>
  <si>
    <t>Enero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</si>
  <si>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</si>
  <si>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</si>
  <si>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</si>
  <si>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</si>
  <si>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</si>
  <si>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</si>
  <si>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</si>
  <si>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</si>
  <si>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</si>
  <si>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</si>
  <si>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</si>
  <si>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x</t>
  </si>
  <si>
    <t>X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</si>
  <si>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</si>
  <si>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</si>
  <si>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</si>
  <si>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</si>
  <si>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</si>
  <si>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 xml:space="preserve">Enero </t>
  </si>
  <si>
    <t>Diseño de DB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</si>
  <si>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</si>
  <si>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</si>
  <si>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Febrero</t>
  </si>
  <si>
    <t>Funciones de Una Sola Fila Parte I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</si>
  <si>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</si>
  <si>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</si>
  <si>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JOIN Parte Il</t>
  </si>
  <si>
    <r>
      <rPr>
        <rFont val="Arial Rounded"/>
        <color rgb="FF1F1F1F"/>
        <sz val="10.0"/>
      </rPr>
      <t>Colocar X en la casilla del recurso que se utilizara</t>
    </r>
  </si>
  <si>
    <t>Marzo</t>
  </si>
  <si>
    <t>Carga Masiva</t>
  </si>
  <si>
    <r>
      <rPr>
        <rFont val="Arial Rounded"/>
        <color rgb="FF1F1F1F"/>
        <sz val="10.0"/>
      </rPr>
      <t>Colocar X en la casilla del recurso que se utilizara</t>
    </r>
  </si>
  <si>
    <t>Funciones de Grupo Parte Il</t>
  </si>
  <si>
    <r>
      <rPr>
        <rFont val="Arial Rounded"/>
        <color rgb="FF1F1F1F"/>
        <sz val="10.0"/>
      </rPr>
      <t>Colocar X en la casilla del recurso que se utilizara</t>
    </r>
  </si>
  <si>
    <t>Diseño de Bases de Datos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</si>
  <si>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</si>
  <si>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</si>
  <si>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Abril</t>
  </si>
  <si>
    <t>DDL</t>
  </si>
  <si>
    <t>Pruebas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</si>
  <si>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</si>
  <si>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</si>
  <si>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Procedimientos Almacenados</t>
  </si>
  <si>
    <t>Triggers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</si>
  <si>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</si>
  <si>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</si>
  <si>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Habilidades de Resolución de Problemas y Lógicas</t>
  </si>
  <si>
    <t>Fundamentos de Algoritmos y Pensamiento Computacional</t>
  </si>
  <si>
    <t>Tiempo aproximado</t>
  </si>
  <si>
    <t>Pensamiento Algorítmico para la Resolución de Problemas Complejos</t>
  </si>
  <si>
    <t>Algoritmos Aplicados en Ciencias: Biología, Criptografía, Finanzas y Más</t>
  </si>
  <si>
    <t>Comprendiendo los Sistemas Numéricos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</si>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</sst>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/>
    <font>
      <color theme="1"/>
      <name val="Arial"/>
      <scheme val="minor"/>
    </font>
    <font>
      <sz val="16.0"/>
      <color theme="1"/>
      <name val="Arial"/>
    </font>
    <font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4.0"/>
      <color rgb="FF0D0D0D"/>
      <name val="Arial"/>
    </font>
    <font>
      <sz val="12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  <font>
      <color theme="1"/>
      <name val="Aptos Narrow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4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1" fillId="3" fontId="2" numFmtId="0" xfId="0" applyAlignment="1" applyBorder="1" applyFill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5" fillId="4" fontId="8" numFmtId="0" xfId="0" applyBorder="1" applyFill="1" applyFont="1"/>
    <xf borderId="5" fillId="0" fontId="9" numFmtId="0" xfId="0" applyAlignment="1" applyBorder="1" applyFont="1">
      <alignment shrinkToFit="0" wrapText="1"/>
    </xf>
    <xf borderId="0" fillId="0" fontId="9" numFmtId="0" xfId="0" applyFont="1"/>
    <xf borderId="5" fillId="2" fontId="10" numFmtId="0" xfId="0" applyAlignment="1" applyBorder="1" applyFont="1">
      <alignment horizontal="left" shrinkToFit="0" wrapText="1"/>
    </xf>
    <xf borderId="0" fillId="2" fontId="11" numFmtId="0" xfId="0" applyAlignment="1" applyFont="1">
      <alignment horizontal="left" readingOrder="0"/>
    </xf>
    <xf borderId="0" fillId="0" fontId="9" numFmtId="0" xfId="0" applyAlignment="1" applyFont="1">
      <alignment shrinkToFit="0" wrapText="1"/>
    </xf>
    <xf borderId="0" fillId="0" fontId="9" numFmtId="0" xfId="0" applyFont="1"/>
    <xf borderId="6" fillId="5" fontId="8" numFmtId="0" xfId="0" applyBorder="1" applyFill="1" applyFont="1"/>
    <xf borderId="5" fillId="5" fontId="8" numFmtId="0" xfId="0" applyBorder="1" applyFont="1"/>
    <xf borderId="5" fillId="5" fontId="8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8" fillId="0" fontId="4" numFmtId="0" xfId="0" applyBorder="1" applyFont="1"/>
    <xf borderId="6" fillId="5" fontId="8" numFmtId="0" xfId="0" applyAlignment="1" applyBorder="1" applyFont="1">
      <alignment horizontal="center" shrinkToFit="0" wrapText="1"/>
    </xf>
    <xf borderId="1" fillId="6" fontId="7" numFmtId="0" xfId="0" applyBorder="1" applyFill="1" applyFont="1"/>
    <xf borderId="1" fillId="6" fontId="12" numFmtId="0" xfId="0" applyBorder="1" applyFont="1"/>
    <xf borderId="2" fillId="6" fontId="12" numFmtId="0" xfId="0" applyBorder="1" applyFont="1"/>
    <xf borderId="9" fillId="0" fontId="4" numFmtId="0" xfId="0" applyBorder="1" applyFont="1"/>
    <xf borderId="9" fillId="5" fontId="8" numFmtId="0" xfId="0" applyAlignment="1" applyBorder="1" applyFont="1">
      <alignment horizontal="center" shrinkToFit="0" wrapText="1"/>
    </xf>
    <xf borderId="6" fillId="5" fontId="8" numFmtId="0" xfId="0" applyAlignment="1" applyBorder="1" applyFont="1">
      <alignment horizontal="center"/>
    </xf>
    <xf borderId="6" fillId="5" fontId="8" numFmtId="0" xfId="0" applyAlignment="1" applyBorder="1" applyFont="1">
      <alignment horizontal="center" readingOrder="0"/>
    </xf>
    <xf borderId="2" fillId="6" fontId="7" numFmtId="0" xfId="0" applyBorder="1" applyFont="1"/>
    <xf borderId="10" fillId="0" fontId="4" numFmtId="0" xfId="0" applyBorder="1" applyFont="1"/>
    <xf borderId="4" fillId="0" fontId="9" numFmtId="0" xfId="0" applyBorder="1" applyFont="1"/>
    <xf borderId="4" fillId="0" fontId="2" numFmtId="0" xfId="0" applyBorder="1" applyFont="1"/>
    <xf borderId="1" fillId="0" fontId="9" numFmtId="0" xfId="0" applyBorder="1" applyFont="1"/>
    <xf borderId="1" fillId="0" fontId="13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4" numFmtId="0" xfId="0" applyFont="1"/>
    <xf borderId="0" fillId="0" fontId="15" numFmtId="0" xfId="0" applyFont="1"/>
    <xf borderId="0" fillId="0" fontId="9" numFmtId="0" xfId="0" applyAlignment="1" applyFont="1">
      <alignment readingOrder="0" shrinkToFit="0" wrapText="1"/>
    </xf>
    <xf borderId="1" fillId="0" fontId="2" numFmtId="0" xfId="0" applyAlignment="1" applyBorder="1" applyFont="1">
      <alignment vertical="bottom"/>
    </xf>
    <xf borderId="1" fillId="0" fontId="13" numFmtId="0" xfId="0" applyBorder="1" applyFont="1"/>
    <xf borderId="5" fillId="5" fontId="8" numFmtId="0" xfId="0" applyAlignment="1" applyBorder="1" applyFont="1">
      <alignment horizontal="center" vertical="bottom"/>
    </xf>
    <xf borderId="7" fillId="5" fontId="8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center" shrinkToFit="0" vertical="bottom" wrapText="1"/>
    </xf>
    <xf borderId="11" fillId="6" fontId="7" numFmtId="0" xfId="0" applyBorder="1" applyFont="1"/>
    <xf borderId="12" fillId="5" fontId="8" numFmtId="0" xfId="0" applyAlignment="1" applyBorder="1" applyFont="1">
      <alignment horizontal="center" shrinkToFit="0" vertical="bottom" wrapText="1"/>
    </xf>
    <xf borderId="6" fillId="5" fontId="8" numFmtId="0" xfId="0" applyAlignment="1" applyBorder="1" applyFont="1">
      <alignment horizontal="center" vertical="bottom"/>
    </xf>
    <xf borderId="13" fillId="6" fontId="7" numFmtId="0" xfId="0" applyBorder="1" applyFont="1"/>
    <xf borderId="14" fillId="0" fontId="4" numFmtId="0" xfId="0" applyBorder="1" applyFont="1"/>
    <xf borderId="4" fillId="0" fontId="2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1" fillId="0" fontId="9" numFmtId="0" xfId="0" applyAlignment="1" applyBorder="1" applyFont="1">
      <alignment vertical="bottom"/>
    </xf>
    <xf borderId="5" fillId="2" fontId="10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9" fillId="5" fontId="8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vertical="bottom"/>
    </xf>
    <xf borderId="1" fillId="0" fontId="13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5" fontId="8" numFmtId="0" xfId="0" applyAlignment="1" applyBorder="1" applyFont="1">
      <alignment shrinkToFit="0" wrapText="1"/>
    </xf>
    <xf borderId="0" fillId="0" fontId="9" numFmtId="0" xfId="0" applyAlignment="1" applyFont="1">
      <alignment horizontal="left" shrinkToFit="0" wrapText="1"/>
    </xf>
    <xf borderId="1" fillId="0" fontId="9" numFmtId="0" xfId="0" applyAlignment="1" applyBorder="1" applyFont="1">
      <alignment shrinkToFit="0" wrapText="1"/>
    </xf>
    <xf borderId="0" fillId="4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25"/>
    <col customWidth="1" min="3" max="3" width="42.25"/>
  </cols>
  <sheetData>
    <row r="1" ht="15.75" customHeight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4" t="s">
        <v>5</v>
      </c>
      <c r="C3" s="5" t="s">
        <v>6</v>
      </c>
    </row>
    <row r="4">
      <c r="A4" s="4">
        <v>3.0</v>
      </c>
      <c r="B4" s="4" t="s">
        <v>7</v>
      </c>
      <c r="C4" s="5" t="s">
        <v>8</v>
      </c>
    </row>
    <row r="5" ht="48.0" customHeight="1">
      <c r="A5" s="4">
        <v>4.0</v>
      </c>
      <c r="B5" s="4" t="s">
        <v>9</v>
      </c>
      <c r="C5" s="5" t="s">
        <v>10</v>
      </c>
    </row>
    <row r="6">
      <c r="A6" s="4">
        <v>5.0</v>
      </c>
      <c r="B6" s="4" t="s">
        <v>11</v>
      </c>
      <c r="C6" s="5" t="s">
        <v>12</v>
      </c>
    </row>
    <row r="7" ht="15.75" customHeight="1">
      <c r="A7" s="6"/>
      <c r="B7" s="7"/>
      <c r="C7" s="8"/>
    </row>
    <row r="8" ht="15.75" customHeight="1">
      <c r="A8" s="6"/>
      <c r="B8" s="7"/>
      <c r="C8" s="8"/>
    </row>
    <row r="9" ht="15.75" customHeight="1">
      <c r="A9" s="6"/>
      <c r="B9" s="7"/>
      <c r="C9" s="8"/>
    </row>
    <row r="10" ht="15.75" customHeight="1">
      <c r="A10" s="6"/>
      <c r="B10" s="7"/>
      <c r="C10" s="8"/>
    </row>
    <row r="11" ht="15.75" customHeight="1">
      <c r="A11" s="6"/>
      <c r="B11" s="7"/>
      <c r="C11" s="8"/>
    </row>
    <row r="12" ht="15.75" customHeight="1">
      <c r="A12" s="6"/>
      <c r="B12" s="6"/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8.63"/>
    <col customWidth="1" min="5" max="5" width="9.25"/>
    <col customWidth="1" min="6" max="6" width="36.0"/>
    <col customWidth="1" min="7" max="7" width="44.25"/>
  </cols>
  <sheetData>
    <row r="1" ht="15.75" customHeight="1">
      <c r="A1" s="9" t="s">
        <v>13</v>
      </c>
      <c r="B1" s="10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 ht="15.75" customHeight="1">
      <c r="A2" s="11">
        <v>1.0</v>
      </c>
      <c r="B2" s="12" t="s">
        <v>20</v>
      </c>
      <c r="C2" s="13">
        <v>1.0</v>
      </c>
      <c r="D2" s="14" t="s">
        <v>21</v>
      </c>
      <c r="E2" s="9">
        <v>1.0</v>
      </c>
      <c r="F2" s="9" t="s">
        <v>22</v>
      </c>
      <c r="G2" s="9"/>
    </row>
    <row r="3" ht="15.75" customHeight="1">
      <c r="A3" s="15"/>
      <c r="B3" s="15"/>
      <c r="C3" s="15"/>
      <c r="D3" s="15"/>
      <c r="E3" s="9">
        <v>2.0</v>
      </c>
      <c r="F3" s="9" t="s">
        <v>23</v>
      </c>
      <c r="G3" s="9"/>
    </row>
    <row r="4" ht="15.75" customHeight="1">
      <c r="A4" s="15"/>
      <c r="B4" s="15"/>
      <c r="C4" s="15"/>
      <c r="D4" s="15"/>
      <c r="E4" s="9">
        <v>3.0</v>
      </c>
      <c r="F4" s="16" t="s">
        <v>24</v>
      </c>
      <c r="G4" s="9"/>
    </row>
    <row r="5" ht="15.75" customHeight="1">
      <c r="A5" s="15"/>
      <c r="B5" s="15"/>
      <c r="C5" s="15"/>
      <c r="D5" s="15"/>
      <c r="E5" s="9">
        <v>4.0</v>
      </c>
      <c r="F5" s="16" t="s">
        <v>25</v>
      </c>
      <c r="G5" s="9"/>
    </row>
    <row r="6" ht="15.75" customHeight="1">
      <c r="A6" s="15"/>
      <c r="B6" s="15"/>
      <c r="C6" s="15"/>
      <c r="D6" s="15"/>
      <c r="E6" s="9">
        <v>5.0</v>
      </c>
      <c r="F6" s="16" t="s">
        <v>26</v>
      </c>
      <c r="G6" s="9"/>
    </row>
    <row r="7" ht="15.75" customHeight="1">
      <c r="A7" s="15"/>
      <c r="B7" s="15"/>
      <c r="C7" s="15"/>
      <c r="D7" s="15"/>
      <c r="E7" s="9">
        <v>6.0</v>
      </c>
      <c r="F7" s="9"/>
      <c r="G7" s="9"/>
    </row>
    <row r="8" ht="15.75" customHeight="1">
      <c r="A8" s="15"/>
      <c r="B8" s="15"/>
      <c r="C8" s="17"/>
      <c r="D8" s="17"/>
      <c r="E8" s="9">
        <v>7.0</v>
      </c>
      <c r="F8" s="9"/>
      <c r="G8" s="9"/>
    </row>
    <row r="9" ht="15.75" customHeight="1">
      <c r="A9" s="15"/>
      <c r="B9" s="15"/>
      <c r="C9" s="13">
        <v>2.0</v>
      </c>
      <c r="D9" s="18" t="s">
        <v>27</v>
      </c>
      <c r="E9" s="9">
        <v>1.0</v>
      </c>
      <c r="F9" s="16" t="s">
        <v>28</v>
      </c>
      <c r="G9" s="9"/>
    </row>
    <row r="10" ht="15.75" customHeight="1">
      <c r="A10" s="15"/>
      <c r="B10" s="15"/>
      <c r="C10" s="15"/>
      <c r="D10" s="15"/>
      <c r="E10" s="9">
        <v>2.0</v>
      </c>
      <c r="F10" s="16" t="s">
        <v>29</v>
      </c>
      <c r="G10" s="9"/>
    </row>
    <row r="11" ht="15.75" customHeight="1">
      <c r="A11" s="15"/>
      <c r="B11" s="15"/>
      <c r="C11" s="15"/>
      <c r="D11" s="15"/>
      <c r="E11" s="9">
        <v>3.0</v>
      </c>
      <c r="F11" s="16" t="s">
        <v>30</v>
      </c>
      <c r="G11" s="9"/>
    </row>
    <row r="12" ht="15.75" customHeight="1">
      <c r="A12" s="15"/>
      <c r="B12" s="15"/>
      <c r="C12" s="15"/>
      <c r="D12" s="15"/>
      <c r="E12" s="9">
        <v>4.0</v>
      </c>
      <c r="F12" s="9"/>
      <c r="G12" s="9"/>
    </row>
    <row r="13" ht="15.75" customHeight="1">
      <c r="A13" s="15"/>
      <c r="B13" s="15"/>
      <c r="C13" s="15"/>
      <c r="D13" s="15"/>
      <c r="E13" s="9">
        <v>5.0</v>
      </c>
      <c r="F13" s="9"/>
      <c r="G13" s="9"/>
    </row>
    <row r="14" ht="15.75" customHeight="1">
      <c r="A14" s="15"/>
      <c r="B14" s="15"/>
      <c r="C14" s="15"/>
      <c r="D14" s="15"/>
      <c r="E14" s="9">
        <v>6.0</v>
      </c>
      <c r="F14" s="9"/>
      <c r="G14" s="9"/>
    </row>
    <row r="15" ht="15.75" customHeight="1">
      <c r="A15" s="15"/>
      <c r="B15" s="15"/>
      <c r="C15" s="17"/>
      <c r="D15" s="17"/>
      <c r="E15" s="9">
        <v>7.0</v>
      </c>
      <c r="F15" s="9"/>
      <c r="G15" s="9"/>
    </row>
    <row r="16" ht="15.75" customHeight="1">
      <c r="A16" s="15"/>
      <c r="B16" s="15"/>
      <c r="C16" s="13">
        <v>3.0</v>
      </c>
      <c r="D16" s="18" t="s">
        <v>31</v>
      </c>
      <c r="E16" s="9">
        <v>1.0</v>
      </c>
      <c r="F16" s="16" t="s">
        <v>32</v>
      </c>
      <c r="G16" s="9"/>
    </row>
    <row r="17" ht="15.75" customHeight="1">
      <c r="A17" s="15"/>
      <c r="B17" s="15"/>
      <c r="C17" s="15"/>
      <c r="D17" s="15"/>
      <c r="E17" s="9">
        <v>2.0</v>
      </c>
      <c r="F17" s="16" t="s">
        <v>33</v>
      </c>
      <c r="G17" s="9"/>
    </row>
    <row r="18" ht="15.75" customHeight="1">
      <c r="A18" s="15"/>
      <c r="B18" s="15"/>
      <c r="C18" s="15"/>
      <c r="D18" s="15"/>
      <c r="E18" s="9">
        <v>3.0</v>
      </c>
      <c r="F18" s="16" t="s">
        <v>34</v>
      </c>
      <c r="G18" s="9"/>
    </row>
    <row r="19" ht="15.75" customHeight="1">
      <c r="A19" s="15"/>
      <c r="B19" s="15"/>
      <c r="C19" s="15"/>
      <c r="D19" s="15"/>
      <c r="E19" s="9">
        <v>4.0</v>
      </c>
      <c r="F19" s="16"/>
      <c r="G19" s="9"/>
    </row>
    <row r="20" ht="15.75" customHeight="1">
      <c r="A20" s="15"/>
      <c r="B20" s="15"/>
      <c r="C20" s="15"/>
      <c r="D20" s="15"/>
      <c r="E20" s="9">
        <v>5.0</v>
      </c>
      <c r="F20" s="19"/>
      <c r="G20" s="9"/>
    </row>
    <row r="21" ht="15.75" customHeight="1">
      <c r="A21" s="15"/>
      <c r="B21" s="15"/>
      <c r="C21" s="15"/>
      <c r="D21" s="15"/>
      <c r="E21" s="9">
        <v>6.0</v>
      </c>
      <c r="F21" s="16"/>
      <c r="G21" s="9"/>
    </row>
    <row r="22" ht="15.75" customHeight="1">
      <c r="A22" s="15"/>
      <c r="B22" s="15"/>
      <c r="C22" s="17"/>
      <c r="D22" s="17"/>
      <c r="E22" s="9">
        <v>7.0</v>
      </c>
      <c r="F22" s="9"/>
      <c r="G22" s="9"/>
    </row>
    <row r="23" ht="15.75" customHeight="1">
      <c r="A23" s="15"/>
      <c r="B23" s="15"/>
      <c r="C23" s="13">
        <v>4.0</v>
      </c>
      <c r="D23" s="18" t="s">
        <v>35</v>
      </c>
      <c r="E23" s="9">
        <v>1.0</v>
      </c>
      <c r="F23" s="16" t="s">
        <v>36</v>
      </c>
      <c r="G23" s="9"/>
    </row>
    <row r="24" ht="15.75" customHeight="1">
      <c r="A24" s="15"/>
      <c r="B24" s="15"/>
      <c r="C24" s="15"/>
      <c r="D24" s="15"/>
      <c r="E24" s="9">
        <v>2.0</v>
      </c>
      <c r="F24" s="16" t="s">
        <v>37</v>
      </c>
      <c r="G24" s="9"/>
    </row>
    <row r="25" ht="15.75" customHeight="1">
      <c r="A25" s="15"/>
      <c r="B25" s="15"/>
      <c r="C25" s="15"/>
      <c r="D25" s="15"/>
      <c r="E25" s="9">
        <v>3.0</v>
      </c>
      <c r="F25" s="16" t="s">
        <v>38</v>
      </c>
      <c r="G25" s="9"/>
    </row>
    <row r="26" ht="15.75" customHeight="1">
      <c r="A26" s="15"/>
      <c r="B26" s="15"/>
      <c r="C26" s="15"/>
      <c r="D26" s="15"/>
      <c r="E26" s="9">
        <v>4.0</v>
      </c>
      <c r="F26" s="16" t="s">
        <v>39</v>
      </c>
      <c r="G26" s="9"/>
    </row>
    <row r="27" ht="15.75" customHeight="1">
      <c r="A27" s="15"/>
      <c r="B27" s="15"/>
      <c r="C27" s="15"/>
      <c r="D27" s="15"/>
      <c r="E27" s="9">
        <v>5.0</v>
      </c>
      <c r="F27" s="16" t="s">
        <v>40</v>
      </c>
      <c r="G27" s="9"/>
    </row>
    <row r="28" ht="15.75" customHeight="1">
      <c r="A28" s="15"/>
      <c r="B28" s="15"/>
      <c r="C28" s="15"/>
      <c r="D28" s="15"/>
      <c r="E28" s="9">
        <v>6.0</v>
      </c>
      <c r="F28" s="16" t="s">
        <v>41</v>
      </c>
      <c r="G28" s="9"/>
    </row>
    <row r="29" ht="15.75" customHeight="1">
      <c r="A29" s="17"/>
      <c r="B29" s="17"/>
      <c r="C29" s="17"/>
      <c r="D29" s="17"/>
      <c r="E29" s="9">
        <v>7.0</v>
      </c>
      <c r="F29" s="9"/>
      <c r="G29" s="9"/>
    </row>
    <row r="30" ht="15.75" customHeight="1">
      <c r="A30" s="13">
        <v>2.0</v>
      </c>
      <c r="B30" s="20" t="s">
        <v>42</v>
      </c>
      <c r="C30" s="13">
        <v>5.0</v>
      </c>
      <c r="D30" s="18" t="s">
        <v>43</v>
      </c>
      <c r="E30" s="9">
        <v>1.0</v>
      </c>
      <c r="F30" s="16" t="s">
        <v>44</v>
      </c>
      <c r="G30" s="9"/>
    </row>
    <row r="31" ht="15.75" customHeight="1">
      <c r="A31" s="15"/>
      <c r="B31" s="15"/>
      <c r="C31" s="15"/>
      <c r="D31" s="15"/>
      <c r="E31" s="9">
        <v>2.0</v>
      </c>
      <c r="F31" s="21" t="s">
        <v>45</v>
      </c>
      <c r="G31" s="9"/>
    </row>
    <row r="32" ht="15.75" customHeight="1">
      <c r="A32" s="15"/>
      <c r="B32" s="15"/>
      <c r="C32" s="15"/>
      <c r="D32" s="15"/>
      <c r="E32" s="9">
        <v>3.0</v>
      </c>
      <c r="F32" s="16" t="s">
        <v>46</v>
      </c>
      <c r="G32" s="9"/>
    </row>
    <row r="33" ht="15.75" customHeight="1">
      <c r="A33" s="15"/>
      <c r="B33" s="15"/>
      <c r="C33" s="15"/>
      <c r="D33" s="15"/>
      <c r="E33" s="9">
        <v>4.0</v>
      </c>
      <c r="F33" s="16" t="s">
        <v>47</v>
      </c>
      <c r="G33" s="9"/>
    </row>
    <row r="34" ht="15.75" customHeight="1">
      <c r="A34" s="15"/>
      <c r="B34" s="15"/>
      <c r="C34" s="15"/>
      <c r="D34" s="15"/>
      <c r="E34" s="9">
        <v>5.0</v>
      </c>
      <c r="F34" s="9"/>
      <c r="G34" s="9"/>
    </row>
    <row r="35" ht="15.75" customHeight="1">
      <c r="A35" s="15"/>
      <c r="B35" s="15"/>
      <c r="C35" s="15"/>
      <c r="D35" s="15"/>
      <c r="E35" s="9">
        <v>6.0</v>
      </c>
      <c r="F35" s="9"/>
      <c r="G35" s="9"/>
    </row>
    <row r="36" ht="15.75" customHeight="1">
      <c r="A36" s="15"/>
      <c r="B36" s="15"/>
      <c r="C36" s="17"/>
      <c r="D36" s="17"/>
      <c r="E36" s="9">
        <v>7.0</v>
      </c>
      <c r="F36" s="9"/>
      <c r="G36" s="9"/>
    </row>
    <row r="37" ht="15.75" customHeight="1">
      <c r="A37" s="15"/>
      <c r="B37" s="15"/>
      <c r="C37" s="13">
        <v>6.0</v>
      </c>
      <c r="D37" s="18" t="s">
        <v>48</v>
      </c>
      <c r="E37" s="9">
        <v>1.0</v>
      </c>
      <c r="F37" s="16" t="s">
        <v>49</v>
      </c>
      <c r="G37" s="9"/>
    </row>
    <row r="38" ht="15.75" customHeight="1">
      <c r="A38" s="15"/>
      <c r="B38" s="15"/>
      <c r="C38" s="15"/>
      <c r="D38" s="15"/>
      <c r="E38" s="9">
        <v>2.0</v>
      </c>
      <c r="F38" s="16" t="s">
        <v>50</v>
      </c>
      <c r="G38" s="9"/>
    </row>
    <row r="39" ht="15.75" customHeight="1">
      <c r="A39" s="15"/>
      <c r="B39" s="15"/>
      <c r="C39" s="15"/>
      <c r="D39" s="15"/>
      <c r="E39" s="9">
        <v>3.0</v>
      </c>
      <c r="F39" s="9"/>
      <c r="G39" s="9"/>
    </row>
    <row r="40" ht="15.75" customHeight="1">
      <c r="A40" s="15"/>
      <c r="B40" s="15"/>
      <c r="C40" s="15"/>
      <c r="D40" s="15"/>
      <c r="E40" s="9">
        <v>4.0</v>
      </c>
      <c r="F40" s="9"/>
      <c r="G40" s="9"/>
    </row>
    <row r="41" ht="15.75" customHeight="1">
      <c r="A41" s="15"/>
      <c r="B41" s="15"/>
      <c r="C41" s="15"/>
      <c r="D41" s="15"/>
      <c r="E41" s="9">
        <v>5.0</v>
      </c>
      <c r="F41" s="9"/>
      <c r="G41" s="9"/>
    </row>
    <row r="42" ht="15.75" customHeight="1">
      <c r="A42" s="15"/>
      <c r="B42" s="15"/>
      <c r="C42" s="15"/>
      <c r="D42" s="15"/>
      <c r="E42" s="9">
        <v>6.0</v>
      </c>
      <c r="F42" s="9"/>
      <c r="G42" s="9"/>
    </row>
    <row r="43" ht="15.75" customHeight="1">
      <c r="A43" s="15"/>
      <c r="B43" s="15"/>
      <c r="C43" s="17"/>
      <c r="D43" s="17"/>
      <c r="E43" s="9">
        <v>7.0</v>
      </c>
      <c r="F43" s="9"/>
      <c r="G43" s="9"/>
    </row>
    <row r="44" ht="15.75" customHeight="1">
      <c r="A44" s="15"/>
      <c r="B44" s="15"/>
      <c r="C44" s="13">
        <v>7.0</v>
      </c>
      <c r="D44" s="18" t="s">
        <v>51</v>
      </c>
      <c r="E44" s="9">
        <v>1.0</v>
      </c>
      <c r="F44" s="16" t="s">
        <v>52</v>
      </c>
      <c r="G44" s="9"/>
    </row>
    <row r="45" ht="15.75" customHeight="1">
      <c r="A45" s="15"/>
      <c r="B45" s="15"/>
      <c r="C45" s="15"/>
      <c r="D45" s="15"/>
      <c r="E45" s="9">
        <v>2.0</v>
      </c>
      <c r="F45" s="16" t="s">
        <v>53</v>
      </c>
      <c r="G45" s="9"/>
    </row>
    <row r="46" ht="15.75" customHeight="1">
      <c r="A46" s="15"/>
      <c r="B46" s="15"/>
      <c r="C46" s="15"/>
      <c r="D46" s="15"/>
      <c r="E46" s="9">
        <v>3.0</v>
      </c>
      <c r="F46" s="9"/>
      <c r="G46" s="9"/>
    </row>
    <row r="47" ht="15.75" customHeight="1">
      <c r="A47" s="15"/>
      <c r="B47" s="15"/>
      <c r="C47" s="15"/>
      <c r="D47" s="15"/>
      <c r="E47" s="9">
        <v>4.0</v>
      </c>
      <c r="F47" s="9"/>
      <c r="G47" s="9"/>
    </row>
    <row r="48" ht="15.75" customHeight="1">
      <c r="A48" s="15"/>
      <c r="B48" s="15"/>
      <c r="C48" s="15"/>
      <c r="D48" s="15"/>
      <c r="E48" s="9">
        <v>5.0</v>
      </c>
      <c r="F48" s="9"/>
      <c r="G48" s="9"/>
    </row>
    <row r="49" ht="15.75" customHeight="1">
      <c r="A49" s="15"/>
      <c r="B49" s="15"/>
      <c r="C49" s="15"/>
      <c r="D49" s="15"/>
      <c r="E49" s="9">
        <v>6.0</v>
      </c>
      <c r="F49" s="9"/>
      <c r="G49" s="9"/>
    </row>
    <row r="50" ht="15.75" customHeight="1">
      <c r="A50" s="15"/>
      <c r="B50" s="15"/>
      <c r="C50" s="17"/>
      <c r="D50" s="17"/>
      <c r="E50" s="9">
        <v>7.0</v>
      </c>
      <c r="F50" s="9"/>
      <c r="G50" s="9"/>
    </row>
    <row r="51" ht="15.75" customHeight="1">
      <c r="A51" s="15"/>
      <c r="B51" s="15"/>
      <c r="C51" s="13">
        <v>8.0</v>
      </c>
      <c r="D51" s="18" t="s">
        <v>54</v>
      </c>
      <c r="E51" s="9">
        <v>1.0</v>
      </c>
      <c r="F51" s="16" t="s">
        <v>55</v>
      </c>
      <c r="G51" s="9"/>
    </row>
    <row r="52" ht="15.75" customHeight="1">
      <c r="A52" s="15"/>
      <c r="B52" s="15"/>
      <c r="C52" s="15"/>
      <c r="D52" s="15"/>
      <c r="E52" s="9">
        <v>2.0</v>
      </c>
      <c r="F52" s="16" t="s">
        <v>56</v>
      </c>
      <c r="G52" s="9"/>
    </row>
    <row r="53" ht="15.75" customHeight="1">
      <c r="A53" s="15"/>
      <c r="B53" s="15"/>
      <c r="C53" s="15"/>
      <c r="D53" s="15"/>
      <c r="E53" s="9">
        <v>3.0</v>
      </c>
      <c r="F53" s="16" t="s">
        <v>57</v>
      </c>
      <c r="G53" s="9"/>
    </row>
    <row r="54" ht="15.75" customHeight="1">
      <c r="A54" s="15"/>
      <c r="B54" s="15"/>
      <c r="C54" s="15"/>
      <c r="D54" s="15"/>
      <c r="E54" s="9">
        <v>4.0</v>
      </c>
      <c r="F54" s="9"/>
      <c r="G54" s="9"/>
    </row>
    <row r="55" ht="15.75" customHeight="1">
      <c r="A55" s="15"/>
      <c r="B55" s="15"/>
      <c r="C55" s="15"/>
      <c r="D55" s="15"/>
      <c r="E55" s="9">
        <v>5.0</v>
      </c>
      <c r="F55" s="9"/>
      <c r="G55" s="9"/>
    </row>
    <row r="56" ht="15.75" customHeight="1">
      <c r="A56" s="15"/>
      <c r="B56" s="15"/>
      <c r="C56" s="15"/>
      <c r="D56" s="15"/>
      <c r="E56" s="9">
        <v>6.0</v>
      </c>
      <c r="F56" s="9"/>
      <c r="G56" s="9"/>
    </row>
    <row r="57" ht="15.75" customHeight="1">
      <c r="A57" s="17"/>
      <c r="B57" s="17"/>
      <c r="C57" s="17"/>
      <c r="D57" s="17"/>
      <c r="E57" s="9">
        <v>7.0</v>
      </c>
      <c r="F57" s="9"/>
      <c r="G57" s="9"/>
    </row>
    <row r="58" ht="15.75" customHeight="1">
      <c r="A58" s="13">
        <v>3.0</v>
      </c>
      <c r="B58" s="12" t="s">
        <v>58</v>
      </c>
      <c r="C58" s="13">
        <v>9.0</v>
      </c>
      <c r="D58" s="18" t="s">
        <v>59</v>
      </c>
      <c r="E58" s="9">
        <v>1.0</v>
      </c>
      <c r="F58" s="16" t="s">
        <v>60</v>
      </c>
      <c r="G58" s="9"/>
    </row>
    <row r="59" ht="15.75" customHeight="1">
      <c r="A59" s="15"/>
      <c r="B59" s="15"/>
      <c r="C59" s="15"/>
      <c r="D59" s="15"/>
      <c r="E59" s="9">
        <v>2.0</v>
      </c>
      <c r="F59" s="16" t="s">
        <v>61</v>
      </c>
      <c r="G59" s="9"/>
    </row>
    <row r="60" ht="15.75" customHeight="1">
      <c r="A60" s="15"/>
      <c r="B60" s="15"/>
      <c r="C60" s="15"/>
      <c r="D60" s="15"/>
      <c r="E60" s="9">
        <v>3.0</v>
      </c>
      <c r="F60" s="16" t="s">
        <v>62</v>
      </c>
      <c r="G60" s="9"/>
    </row>
    <row r="61" ht="15.75" customHeight="1">
      <c r="A61" s="15"/>
      <c r="B61" s="15"/>
      <c r="C61" s="15"/>
      <c r="D61" s="15"/>
      <c r="E61" s="9">
        <v>4.0</v>
      </c>
      <c r="F61" s="16" t="s">
        <v>63</v>
      </c>
      <c r="G61" s="9"/>
    </row>
    <row r="62" ht="15.75" customHeight="1">
      <c r="A62" s="15"/>
      <c r="B62" s="15"/>
      <c r="C62" s="15"/>
      <c r="D62" s="15"/>
      <c r="E62" s="9">
        <v>5.0</v>
      </c>
      <c r="F62" s="9"/>
      <c r="G62" s="9"/>
    </row>
    <row r="63" ht="15.75" customHeight="1">
      <c r="A63" s="15"/>
      <c r="B63" s="15"/>
      <c r="C63" s="15"/>
      <c r="D63" s="15"/>
      <c r="E63" s="9">
        <v>6.0</v>
      </c>
      <c r="F63" s="9"/>
      <c r="G63" s="9"/>
    </row>
    <row r="64" ht="15.75" customHeight="1">
      <c r="A64" s="15"/>
      <c r="B64" s="15"/>
      <c r="C64" s="17"/>
      <c r="D64" s="17"/>
      <c r="E64" s="9">
        <v>7.0</v>
      </c>
      <c r="F64" s="9"/>
      <c r="G64" s="9"/>
    </row>
    <row r="65" ht="15.75" customHeight="1">
      <c r="A65" s="15"/>
      <c r="B65" s="15"/>
      <c r="C65" s="13">
        <v>10.0</v>
      </c>
      <c r="D65" s="18" t="s">
        <v>64</v>
      </c>
      <c r="E65" s="9">
        <v>1.0</v>
      </c>
      <c r="F65" s="16" t="s">
        <v>65</v>
      </c>
      <c r="G65" s="9"/>
    </row>
    <row r="66" ht="15.75" customHeight="1">
      <c r="A66" s="15"/>
      <c r="B66" s="15"/>
      <c r="C66" s="15"/>
      <c r="D66" s="15"/>
      <c r="E66" s="9">
        <v>2.0</v>
      </c>
      <c r="F66" s="22" t="s">
        <v>66</v>
      </c>
      <c r="G66" s="9"/>
    </row>
    <row r="67" ht="15.75" customHeight="1">
      <c r="A67" s="15"/>
      <c r="B67" s="15"/>
      <c r="C67" s="15"/>
      <c r="D67" s="15"/>
      <c r="E67" s="9">
        <v>3.0</v>
      </c>
      <c r="F67" s="16" t="s">
        <v>67</v>
      </c>
      <c r="G67" s="9"/>
    </row>
    <row r="68" ht="15.75" customHeight="1">
      <c r="A68" s="15"/>
      <c r="B68" s="15"/>
      <c r="C68" s="15"/>
      <c r="D68" s="15"/>
      <c r="E68" s="9">
        <v>4.0</v>
      </c>
      <c r="F68" s="16" t="s">
        <v>68</v>
      </c>
      <c r="G68" s="9"/>
    </row>
    <row r="69" ht="15.75" customHeight="1">
      <c r="A69" s="15"/>
      <c r="B69" s="15"/>
      <c r="C69" s="15"/>
      <c r="D69" s="15"/>
      <c r="E69" s="9">
        <v>5.0</v>
      </c>
      <c r="F69" s="16" t="s">
        <v>69</v>
      </c>
      <c r="G69" s="9"/>
    </row>
    <row r="70" ht="15.75" customHeight="1">
      <c r="A70" s="15"/>
      <c r="B70" s="15"/>
      <c r="C70" s="15"/>
      <c r="D70" s="15"/>
      <c r="E70" s="9">
        <v>6.0</v>
      </c>
      <c r="F70" s="9"/>
      <c r="G70" s="9"/>
    </row>
    <row r="71" ht="15.75" customHeight="1">
      <c r="A71" s="15"/>
      <c r="B71" s="15"/>
      <c r="C71" s="17"/>
      <c r="D71" s="17"/>
      <c r="E71" s="9">
        <v>7.0</v>
      </c>
      <c r="F71" s="9"/>
      <c r="G71" s="9"/>
    </row>
    <row r="72" ht="15.75" customHeight="1">
      <c r="A72" s="15"/>
      <c r="B72" s="15"/>
      <c r="C72" s="13">
        <v>11.0</v>
      </c>
      <c r="D72" s="18" t="s">
        <v>70</v>
      </c>
      <c r="E72" s="9">
        <v>1.0</v>
      </c>
      <c r="F72" s="16" t="s">
        <v>71</v>
      </c>
      <c r="G72" s="9"/>
    </row>
    <row r="73" ht="15.75" customHeight="1">
      <c r="A73" s="15"/>
      <c r="B73" s="15"/>
      <c r="C73" s="15"/>
      <c r="D73" s="15"/>
      <c r="E73" s="9">
        <v>2.0</v>
      </c>
      <c r="F73" s="16" t="s">
        <v>72</v>
      </c>
      <c r="G73" s="9"/>
    </row>
    <row r="74" ht="15.75" customHeight="1">
      <c r="A74" s="15"/>
      <c r="B74" s="15"/>
      <c r="C74" s="15"/>
      <c r="D74" s="15"/>
      <c r="E74" s="9">
        <v>3.0</v>
      </c>
      <c r="F74" s="16" t="s">
        <v>73</v>
      </c>
      <c r="G74" s="9"/>
    </row>
    <row r="75" ht="15.75" customHeight="1">
      <c r="A75" s="15"/>
      <c r="B75" s="15"/>
      <c r="C75" s="15"/>
      <c r="D75" s="15"/>
      <c r="E75" s="9">
        <v>4.0</v>
      </c>
      <c r="F75" s="16"/>
      <c r="G75" s="9"/>
    </row>
    <row r="76" ht="15.75" customHeight="1">
      <c r="A76" s="15"/>
      <c r="B76" s="15"/>
      <c r="C76" s="15"/>
      <c r="D76" s="15"/>
      <c r="E76" s="9">
        <v>5.0</v>
      </c>
      <c r="F76" s="16"/>
      <c r="G76" s="9"/>
    </row>
    <row r="77" ht="15.75" customHeight="1">
      <c r="A77" s="15"/>
      <c r="B77" s="15"/>
      <c r="C77" s="15"/>
      <c r="D77" s="15"/>
      <c r="E77" s="9">
        <v>6.0</v>
      </c>
      <c r="F77" s="16"/>
      <c r="G77" s="9"/>
    </row>
    <row r="78" ht="15.75" customHeight="1">
      <c r="A78" s="15"/>
      <c r="B78" s="15"/>
      <c r="C78" s="17"/>
      <c r="D78" s="17"/>
      <c r="E78" s="9">
        <v>7.0</v>
      </c>
      <c r="F78" s="9"/>
      <c r="G78" s="9"/>
    </row>
    <row r="79" ht="15.75" customHeight="1">
      <c r="A79" s="15"/>
      <c r="B79" s="15"/>
      <c r="C79" s="13">
        <v>12.0</v>
      </c>
      <c r="D79" s="18" t="s">
        <v>74</v>
      </c>
      <c r="E79" s="9">
        <v>1.0</v>
      </c>
      <c r="F79" s="16" t="s">
        <v>75</v>
      </c>
      <c r="G79" s="9"/>
    </row>
    <row r="80" ht="15.75" customHeight="1">
      <c r="A80" s="15"/>
      <c r="B80" s="15"/>
      <c r="C80" s="15"/>
      <c r="D80" s="15"/>
      <c r="E80" s="9">
        <v>2.0</v>
      </c>
      <c r="F80" s="16" t="s">
        <v>76</v>
      </c>
      <c r="G80" s="23"/>
      <c r="H80" s="24"/>
      <c r="I80" s="25"/>
      <c r="J80" s="25"/>
    </row>
    <row r="81" ht="15.75" customHeight="1">
      <c r="A81" s="15"/>
      <c r="B81" s="15"/>
      <c r="C81" s="15"/>
      <c r="D81" s="15"/>
      <c r="E81" s="9">
        <v>3.0</v>
      </c>
      <c r="F81" s="16" t="s">
        <v>77</v>
      </c>
      <c r="G81" s="9"/>
    </row>
    <row r="82" ht="15.75" customHeight="1">
      <c r="A82" s="15"/>
      <c r="B82" s="15"/>
      <c r="C82" s="15"/>
      <c r="D82" s="15"/>
      <c r="E82" s="9">
        <v>4.0</v>
      </c>
      <c r="F82" s="9"/>
      <c r="G82" s="9"/>
    </row>
    <row r="83" ht="15.75" customHeight="1">
      <c r="A83" s="15"/>
      <c r="B83" s="15"/>
      <c r="C83" s="15"/>
      <c r="D83" s="15"/>
      <c r="E83" s="9">
        <v>5.0</v>
      </c>
      <c r="F83" s="9"/>
      <c r="G83" s="9"/>
    </row>
    <row r="84" ht="15.75" customHeight="1">
      <c r="A84" s="15"/>
      <c r="B84" s="15"/>
      <c r="C84" s="15"/>
      <c r="D84" s="15"/>
      <c r="E84" s="9">
        <v>6.0</v>
      </c>
      <c r="F84" s="9"/>
      <c r="G84" s="9"/>
    </row>
    <row r="85" ht="15.75" customHeight="1">
      <c r="A85" s="17"/>
      <c r="B85" s="17"/>
      <c r="C85" s="17"/>
      <c r="D85" s="17"/>
      <c r="E85" s="9">
        <v>7.0</v>
      </c>
      <c r="F85" s="9"/>
      <c r="G85" s="9"/>
    </row>
    <row r="86" ht="15.75" customHeight="1">
      <c r="A86" s="13">
        <v>4.0</v>
      </c>
      <c r="B86" s="12" t="s">
        <v>78</v>
      </c>
      <c r="C86" s="13">
        <v>13.0</v>
      </c>
      <c r="D86" s="18" t="s">
        <v>79</v>
      </c>
      <c r="E86" s="9">
        <v>1.0</v>
      </c>
      <c r="F86" s="16" t="s">
        <v>80</v>
      </c>
      <c r="G86" s="9"/>
    </row>
    <row r="87" ht="15.75" customHeight="1">
      <c r="A87" s="15"/>
      <c r="B87" s="15"/>
      <c r="C87" s="15"/>
      <c r="D87" s="15"/>
      <c r="E87" s="9">
        <v>2.0</v>
      </c>
      <c r="F87" s="16" t="s">
        <v>81</v>
      </c>
      <c r="G87" s="9"/>
    </row>
    <row r="88" ht="15.75" customHeight="1">
      <c r="A88" s="15"/>
      <c r="B88" s="15"/>
      <c r="C88" s="15"/>
      <c r="D88" s="15"/>
      <c r="E88" s="9">
        <v>3.0</v>
      </c>
      <c r="F88" s="16" t="s">
        <v>82</v>
      </c>
      <c r="G88" s="9"/>
    </row>
    <row r="89" ht="15.75" customHeight="1">
      <c r="A89" s="15"/>
      <c r="B89" s="15"/>
      <c r="C89" s="15"/>
      <c r="D89" s="15"/>
      <c r="E89" s="9">
        <v>4.0</v>
      </c>
      <c r="F89" s="9"/>
      <c r="G89" s="9"/>
    </row>
    <row r="90" ht="15.75" customHeight="1">
      <c r="A90" s="15"/>
      <c r="B90" s="15"/>
      <c r="C90" s="15"/>
      <c r="D90" s="15"/>
      <c r="E90" s="9">
        <v>5.0</v>
      </c>
      <c r="F90" s="9"/>
      <c r="G90" s="9"/>
    </row>
    <row r="91" ht="15.75" customHeight="1">
      <c r="A91" s="15"/>
      <c r="B91" s="15"/>
      <c r="C91" s="15"/>
      <c r="D91" s="15"/>
      <c r="E91" s="9">
        <v>6.0</v>
      </c>
      <c r="F91" s="9"/>
      <c r="G91" s="9"/>
    </row>
    <row r="92" ht="15.75" customHeight="1">
      <c r="A92" s="15"/>
      <c r="B92" s="15"/>
      <c r="C92" s="17"/>
      <c r="D92" s="17"/>
      <c r="E92" s="9">
        <v>7.0</v>
      </c>
      <c r="F92" s="9"/>
      <c r="G92" s="9"/>
    </row>
    <row r="93" ht="15.75" customHeight="1">
      <c r="A93" s="15"/>
      <c r="B93" s="15"/>
      <c r="C93" s="13">
        <v>14.0</v>
      </c>
      <c r="D93" s="18" t="s">
        <v>83</v>
      </c>
      <c r="E93" s="9">
        <v>1.0</v>
      </c>
      <c r="F93" s="16" t="s">
        <v>84</v>
      </c>
      <c r="G93" s="9"/>
    </row>
    <row r="94" ht="15.75" customHeight="1">
      <c r="A94" s="15"/>
      <c r="B94" s="15"/>
      <c r="C94" s="15"/>
      <c r="D94" s="15"/>
      <c r="E94" s="9">
        <v>2.0</v>
      </c>
      <c r="F94" s="16" t="s">
        <v>85</v>
      </c>
      <c r="G94" s="9"/>
    </row>
    <row r="95" ht="15.75" customHeight="1">
      <c r="A95" s="15"/>
      <c r="B95" s="15"/>
      <c r="C95" s="15"/>
      <c r="D95" s="15"/>
      <c r="E95" s="9">
        <v>3.0</v>
      </c>
      <c r="F95" s="16" t="s">
        <v>86</v>
      </c>
      <c r="G95" s="9"/>
    </row>
    <row r="96" ht="15.75" customHeight="1">
      <c r="A96" s="15"/>
      <c r="B96" s="15"/>
      <c r="C96" s="15"/>
      <c r="D96" s="15"/>
      <c r="E96" s="9">
        <v>4.0</v>
      </c>
      <c r="F96" s="16" t="s">
        <v>87</v>
      </c>
      <c r="G96" s="9"/>
    </row>
    <row r="97" ht="15.75" customHeight="1">
      <c r="A97" s="15"/>
      <c r="B97" s="15"/>
      <c r="C97" s="15"/>
      <c r="D97" s="15"/>
      <c r="E97" s="9">
        <v>5.0</v>
      </c>
      <c r="F97" s="16" t="s">
        <v>88</v>
      </c>
      <c r="G97" s="9"/>
    </row>
    <row r="98" ht="15.75" customHeight="1">
      <c r="A98" s="15"/>
      <c r="B98" s="15"/>
      <c r="C98" s="15"/>
      <c r="D98" s="15"/>
      <c r="E98" s="9">
        <v>6.0</v>
      </c>
      <c r="F98" s="16" t="s">
        <v>89</v>
      </c>
      <c r="G98" s="9"/>
    </row>
    <row r="99" ht="15.75" customHeight="1">
      <c r="A99" s="17"/>
      <c r="B99" s="17"/>
      <c r="C99" s="17"/>
      <c r="D99" s="17"/>
      <c r="E99" s="9">
        <v>7.0</v>
      </c>
      <c r="F99" s="9"/>
      <c r="G99" s="9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A29"/>
    <mergeCell ref="A30:A57"/>
    <mergeCell ref="B30:B57"/>
    <mergeCell ref="A58:A85"/>
    <mergeCell ref="B58:B85"/>
    <mergeCell ref="A86:A99"/>
    <mergeCell ref="B86:B99"/>
    <mergeCell ref="B2:B29"/>
    <mergeCell ref="C2:C8"/>
    <mergeCell ref="D2:D8"/>
    <mergeCell ref="C9:C15"/>
    <mergeCell ref="D9:D15"/>
    <mergeCell ref="D16:D22"/>
    <mergeCell ref="D23:D29"/>
    <mergeCell ref="C65:C71"/>
    <mergeCell ref="C72:C78"/>
    <mergeCell ref="C79:C85"/>
    <mergeCell ref="C86:C92"/>
    <mergeCell ref="C93:C99"/>
    <mergeCell ref="C16:C22"/>
    <mergeCell ref="C23:C29"/>
    <mergeCell ref="C30:C36"/>
    <mergeCell ref="C37:C43"/>
    <mergeCell ref="C44:C50"/>
    <mergeCell ref="C51:C57"/>
    <mergeCell ref="C58:C64"/>
    <mergeCell ref="D79:D85"/>
    <mergeCell ref="D86:D92"/>
    <mergeCell ref="D93:D99"/>
    <mergeCell ref="D30:D36"/>
    <mergeCell ref="D37:D43"/>
    <mergeCell ref="D44:D50"/>
    <mergeCell ref="D51:D57"/>
    <mergeCell ref="D58:D64"/>
    <mergeCell ref="D65:D71"/>
    <mergeCell ref="D72:D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91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30" t="s">
        <v>20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31" t="s">
        <v>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3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43">
        <v>15.0</v>
      </c>
      <c r="D7" s="44">
        <v>10.0</v>
      </c>
      <c r="E7" s="45">
        <v>20.0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9" t="s">
        <v>22</v>
      </c>
      <c r="C9" s="49" t="s">
        <v>103</v>
      </c>
      <c r="D9" s="49"/>
      <c r="E9" s="49"/>
      <c r="F9" s="49"/>
      <c r="G9" s="49"/>
      <c r="H9" s="49"/>
      <c r="I9" s="49"/>
      <c r="J9" s="49">
        <f t="shared" ref="J9:J14" si="1">if(C9="X",$C$7,0)+if(D9="X",$D$7,0)+if(E9="X",$E$7,0)+if(F9="X",$F$7,0)+if(G9="X",$G$7,0)+if(H9="X",$H$7,0)+if(I9="X",$I$7,0)</f>
        <v>15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9" t="s">
        <v>23</v>
      </c>
      <c r="C10" s="50"/>
      <c r="D10" s="50"/>
      <c r="E10" s="50" t="s">
        <v>104</v>
      </c>
      <c r="F10" s="50"/>
      <c r="G10" s="50"/>
      <c r="H10" s="50"/>
      <c r="I10" s="50"/>
      <c r="J10" s="49">
        <f t="shared" si="1"/>
        <v>20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24</v>
      </c>
      <c r="C11" s="52"/>
      <c r="D11" s="50"/>
      <c r="E11" s="52" t="s">
        <v>103</v>
      </c>
      <c r="F11" s="52" t="s">
        <v>103</v>
      </c>
      <c r="G11" s="50"/>
      <c r="H11" s="50"/>
      <c r="I11" s="50"/>
      <c r="J11" s="49">
        <f t="shared" si="1"/>
        <v>35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25</v>
      </c>
      <c r="C12" s="52" t="s">
        <v>103</v>
      </c>
      <c r="D12" s="50"/>
      <c r="E12" s="50"/>
      <c r="F12" s="52" t="s">
        <v>103</v>
      </c>
      <c r="G12" s="50"/>
      <c r="H12" s="52"/>
      <c r="I12" s="50"/>
      <c r="J12" s="49">
        <f t="shared" si="1"/>
        <v>30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3" t="s">
        <v>26</v>
      </c>
      <c r="C13" s="52" t="s">
        <v>103</v>
      </c>
      <c r="D13" s="50"/>
      <c r="E13" s="50"/>
      <c r="F13" s="50"/>
      <c r="G13" s="50"/>
      <c r="H13" s="52" t="s">
        <v>103</v>
      </c>
      <c r="I13" s="52"/>
      <c r="J13" s="49">
        <f t="shared" si="1"/>
        <v>20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120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108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110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2.0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30" t="s">
        <v>20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27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43">
        <v>15.0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59" t="s">
        <v>28</v>
      </c>
      <c r="C9" s="49" t="s">
        <v>103</v>
      </c>
      <c r="D9" s="49"/>
      <c r="E9" s="49"/>
      <c r="F9" s="49"/>
      <c r="G9" s="49"/>
      <c r="H9" s="49" t="s">
        <v>103</v>
      </c>
      <c r="I9" s="49"/>
      <c r="J9" s="49">
        <f t="shared" ref="J9:J14" si="1">if(C9="X",$C$7,0)+if(D9="X",$D$7,0)+if(E9="X",$E$7,0)+if(F9="X",$F$7,0)+if(G9="X",$G$7,0)+if(H9="X",$H$7,0)+if(I9="X",$I$7,0)</f>
        <v>20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9" t="s">
        <v>29</v>
      </c>
      <c r="C10" s="52" t="s">
        <v>103</v>
      </c>
      <c r="D10" s="50"/>
      <c r="E10" s="50" t="s">
        <v>104</v>
      </c>
      <c r="F10" s="50"/>
      <c r="G10" s="50"/>
      <c r="H10" s="50"/>
      <c r="I10" s="50"/>
      <c r="J10" s="49">
        <f t="shared" si="1"/>
        <v>25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9" t="s">
        <v>30</v>
      </c>
      <c r="C11" s="52" t="s">
        <v>103</v>
      </c>
      <c r="D11" s="50"/>
      <c r="E11" s="50" t="s">
        <v>104</v>
      </c>
      <c r="F11" s="52" t="s">
        <v>103</v>
      </c>
      <c r="G11" s="50"/>
      <c r="H11" s="50"/>
      <c r="I11" s="50" t="s">
        <v>103</v>
      </c>
      <c r="J11" s="49">
        <f t="shared" si="1"/>
        <v>55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111</v>
      </c>
      <c r="C12" s="50"/>
      <c r="D12" s="52" t="s">
        <v>103</v>
      </c>
      <c r="E12" s="50"/>
      <c r="F12" s="50"/>
      <c r="G12" s="50"/>
      <c r="H12" s="50"/>
      <c r="I12" s="50"/>
      <c r="J12" s="49">
        <f t="shared" si="1"/>
        <v>10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112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91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3.0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30" t="s">
        <v>20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31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61" t="s">
        <v>94</v>
      </c>
      <c r="D6" s="61" t="s">
        <v>95</v>
      </c>
      <c r="E6" s="61" t="s">
        <v>96</v>
      </c>
      <c r="F6" s="62" t="s">
        <v>97</v>
      </c>
      <c r="G6" s="37"/>
      <c r="H6" s="62" t="s">
        <v>98</v>
      </c>
      <c r="I6" s="37"/>
      <c r="J6" s="63" t="s">
        <v>99</v>
      </c>
      <c r="K6" s="64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65">
        <v>20.0</v>
      </c>
      <c r="D7" s="66">
        <v>10.0</v>
      </c>
      <c r="E7" s="66">
        <v>10.0</v>
      </c>
      <c r="F7" s="66">
        <v>10.0</v>
      </c>
      <c r="G7" s="66">
        <v>5.0</v>
      </c>
      <c r="H7" s="66">
        <v>5.0</v>
      </c>
      <c r="I7" s="66">
        <v>15.0</v>
      </c>
      <c r="J7" s="42"/>
      <c r="K7" s="67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68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59" t="s">
        <v>32</v>
      </c>
      <c r="C9" s="69" t="s">
        <v>103</v>
      </c>
      <c r="D9" s="70"/>
      <c r="E9" s="71" t="s">
        <v>103</v>
      </c>
      <c r="F9" s="69" t="s">
        <v>103</v>
      </c>
      <c r="G9" s="70"/>
      <c r="H9" s="70"/>
      <c r="I9" s="70"/>
      <c r="J9" s="72">
        <f t="shared" ref="J9:J14" si="1">IF(C9="X",$C$7,0)+IF(D9="X",$D$7,0)+IF(E9="X",$E$7,0)+IF(F9="X",$F$7,0)+IF(G9="X",$G$7,0)+IF(H9="X",$H$7,0)+IF(I9="X",$I$7,0)</f>
        <v>40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9" t="s">
        <v>33</v>
      </c>
      <c r="C10" s="73" t="s">
        <v>103</v>
      </c>
      <c r="D10" s="74"/>
      <c r="E10" s="74"/>
      <c r="F10" s="74"/>
      <c r="G10" s="74"/>
      <c r="H10" s="73" t="s">
        <v>103</v>
      </c>
      <c r="I10" s="74"/>
      <c r="J10" s="72">
        <f t="shared" si="1"/>
        <v>25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9" t="s">
        <v>34</v>
      </c>
      <c r="C11" s="73" t="s">
        <v>103</v>
      </c>
      <c r="D11" s="75"/>
      <c r="E11" s="73" t="s">
        <v>103</v>
      </c>
      <c r="F11" s="73" t="s">
        <v>103</v>
      </c>
      <c r="G11" s="74"/>
      <c r="H11" s="73" t="s">
        <v>103</v>
      </c>
      <c r="I11" s="74"/>
      <c r="J11" s="72">
        <f t="shared" si="1"/>
        <v>45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9"/>
      <c r="C12" s="74"/>
      <c r="D12" s="74"/>
      <c r="E12" s="74"/>
      <c r="F12" s="74"/>
      <c r="G12" s="74"/>
      <c r="H12" s="74"/>
      <c r="I12" s="74"/>
      <c r="J12" s="72">
        <f t="shared" si="1"/>
        <v>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74"/>
      <c r="D13" s="74"/>
      <c r="E13" s="74"/>
      <c r="F13" s="74"/>
      <c r="G13" s="74"/>
      <c r="H13" s="74"/>
      <c r="I13" s="74"/>
      <c r="J13" s="72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74"/>
      <c r="D14" s="74"/>
      <c r="E14" s="74"/>
      <c r="F14" s="74"/>
      <c r="G14" s="74"/>
      <c r="H14" s="74"/>
      <c r="I14" s="74"/>
      <c r="J14" s="72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76"/>
      <c r="D15" s="76"/>
      <c r="E15" s="76"/>
      <c r="F15" s="76"/>
      <c r="G15" s="76"/>
      <c r="H15" s="76"/>
      <c r="I15" s="77" t="s">
        <v>105</v>
      </c>
      <c r="J15" s="78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113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114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4.0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30" t="s">
        <v>20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115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61" t="s">
        <v>94</v>
      </c>
      <c r="D6" s="61" t="s">
        <v>95</v>
      </c>
      <c r="E6" s="61" t="s">
        <v>96</v>
      </c>
      <c r="F6" s="62" t="s">
        <v>97</v>
      </c>
      <c r="G6" s="37"/>
      <c r="H6" s="62" t="s">
        <v>98</v>
      </c>
      <c r="I6" s="37"/>
      <c r="J6" s="63" t="s">
        <v>99</v>
      </c>
      <c r="K6" s="64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65">
        <v>15.0</v>
      </c>
      <c r="D7" s="66">
        <v>10.0</v>
      </c>
      <c r="E7" s="66">
        <v>10.0</v>
      </c>
      <c r="F7" s="66">
        <v>15.0</v>
      </c>
      <c r="G7" s="66">
        <v>5.0</v>
      </c>
      <c r="H7" s="66">
        <v>5.0</v>
      </c>
      <c r="I7" s="66">
        <v>15.0</v>
      </c>
      <c r="J7" s="42"/>
      <c r="K7" s="67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68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16" t="s">
        <v>36</v>
      </c>
      <c r="C9" s="69" t="s">
        <v>103</v>
      </c>
      <c r="D9" s="70"/>
      <c r="E9" s="70"/>
      <c r="F9" s="70"/>
      <c r="G9" s="70"/>
      <c r="H9" s="70"/>
      <c r="I9" s="70"/>
      <c r="J9" s="72">
        <f t="shared" ref="J9:J14" si="1">IF(C9="X",$C$7,0)+IF(D9="X",$D$7,0)+IF(E9="X",$E$7,0)+IF(F9="X",$F$7,0)+IF(G9="X",$G$7,0)+IF(H9="X",$H$7,0)+IF(I9="X",$I$7,0)</f>
        <v>15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16" t="s">
        <v>37</v>
      </c>
      <c r="C10" s="74"/>
      <c r="D10" s="74"/>
      <c r="E10" s="73" t="s">
        <v>103</v>
      </c>
      <c r="F10" s="74"/>
      <c r="G10" s="79" t="s">
        <v>103</v>
      </c>
      <c r="H10" s="73" t="s">
        <v>103</v>
      </c>
      <c r="I10" s="74"/>
      <c r="J10" s="72">
        <f t="shared" si="1"/>
        <v>20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16" t="s">
        <v>38</v>
      </c>
      <c r="C11" s="73" t="s">
        <v>103</v>
      </c>
      <c r="D11" s="74"/>
      <c r="E11" s="74"/>
      <c r="F11" s="74"/>
      <c r="G11" s="75"/>
      <c r="H11" s="74"/>
      <c r="I11" s="74"/>
      <c r="J11" s="72">
        <f t="shared" si="1"/>
        <v>15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16" t="s">
        <v>39</v>
      </c>
      <c r="C12" s="74"/>
      <c r="D12" s="74"/>
      <c r="E12" s="73" t="s">
        <v>103</v>
      </c>
      <c r="F12" s="74"/>
      <c r="G12" s="79" t="s">
        <v>103</v>
      </c>
      <c r="H12" s="73" t="s">
        <v>103</v>
      </c>
      <c r="I12" s="74"/>
      <c r="J12" s="72">
        <f t="shared" si="1"/>
        <v>20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3" t="s">
        <v>40</v>
      </c>
      <c r="C13" s="79" t="s">
        <v>103</v>
      </c>
      <c r="D13" s="74"/>
      <c r="E13" s="74"/>
      <c r="F13" s="74"/>
      <c r="G13" s="74"/>
      <c r="H13" s="74"/>
      <c r="I13" s="74"/>
      <c r="J13" s="72">
        <f t="shared" si="1"/>
        <v>15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1" t="s">
        <v>41</v>
      </c>
      <c r="C14" s="79" t="s">
        <v>103</v>
      </c>
      <c r="D14" s="74"/>
      <c r="E14" s="74"/>
      <c r="F14" s="74"/>
      <c r="G14" s="73" t="s">
        <v>103</v>
      </c>
      <c r="H14" s="79" t="s">
        <v>103</v>
      </c>
      <c r="I14" s="74"/>
      <c r="J14" s="72">
        <f t="shared" si="1"/>
        <v>25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76"/>
      <c r="D15" s="76"/>
      <c r="E15" s="76"/>
      <c r="F15" s="76"/>
      <c r="G15" s="76"/>
      <c r="H15" s="76"/>
      <c r="I15" s="77" t="s">
        <v>105</v>
      </c>
      <c r="J15" s="78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116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114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5.0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42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43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43">
        <v>15.0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59" t="s">
        <v>44</v>
      </c>
      <c r="C9" s="49" t="s">
        <v>103</v>
      </c>
      <c r="D9" s="49"/>
      <c r="E9" s="49"/>
      <c r="F9" s="49"/>
      <c r="G9" s="81" t="s">
        <v>103</v>
      </c>
      <c r="H9" s="49"/>
      <c r="I9" s="49"/>
      <c r="J9" s="49">
        <f t="shared" ref="J9:J14" si="1">if(C9="X",$C$7,0)+if(D9="X",$D$7,0)+if(E9="X",$E$7,0)+if(F9="X",$F$7,0)+if(G9="X",$G$7,0)+if(H9="X",$H$7,0)+if(I9="X",$I$7,0)</f>
        <v>20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82" t="s">
        <v>45</v>
      </c>
      <c r="C10" s="50" t="s">
        <v>103</v>
      </c>
      <c r="D10" s="50"/>
      <c r="E10" s="50"/>
      <c r="F10" s="50"/>
      <c r="G10" s="52" t="s">
        <v>103</v>
      </c>
      <c r="H10" s="52" t="s">
        <v>103</v>
      </c>
      <c r="I10" s="50"/>
      <c r="J10" s="49">
        <f t="shared" si="1"/>
        <v>25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9" t="s">
        <v>46</v>
      </c>
      <c r="C11" s="52" t="s">
        <v>103</v>
      </c>
      <c r="D11" s="50"/>
      <c r="E11" s="50" t="s">
        <v>103</v>
      </c>
      <c r="F11" s="50"/>
      <c r="G11" s="52" t="s">
        <v>103</v>
      </c>
      <c r="H11" s="50" t="s">
        <v>103</v>
      </c>
      <c r="I11" s="50"/>
      <c r="J11" s="49">
        <f t="shared" si="1"/>
        <v>35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9" t="s">
        <v>47</v>
      </c>
      <c r="C12" s="50"/>
      <c r="D12" s="50"/>
      <c r="E12" s="50" t="s">
        <v>103</v>
      </c>
      <c r="F12" s="50" t="s">
        <v>103</v>
      </c>
      <c r="G12" s="50"/>
      <c r="H12" s="52" t="s">
        <v>103</v>
      </c>
      <c r="I12" s="50"/>
      <c r="J12" s="49">
        <f t="shared" si="1"/>
        <v>30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9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117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114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6.0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42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118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59" t="s">
        <v>49</v>
      </c>
      <c r="C9" s="49" t="s">
        <v>103</v>
      </c>
      <c r="D9" s="49"/>
      <c r="E9" s="81"/>
      <c r="F9" s="81" t="s">
        <v>103</v>
      </c>
      <c r="G9" s="81"/>
      <c r="H9" s="81" t="s">
        <v>103</v>
      </c>
      <c r="I9" s="49"/>
      <c r="J9" s="49">
        <f t="shared" ref="J9:J14" si="1">if(C9="X",$C$7,0)+if(D9="X",$D$7,0)+if(E9="X",$E$7,0)+if(F9="X",$F$7,0)+if(G9="X",$G$7,0)+if(H9="X",$H$7,0)+if(I9="X",$I$7,0)</f>
        <v>45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9" t="s">
        <v>50</v>
      </c>
      <c r="C10" s="52" t="s">
        <v>103</v>
      </c>
      <c r="D10" s="52"/>
      <c r="E10" s="50"/>
      <c r="F10" s="52" t="s">
        <v>103</v>
      </c>
      <c r="G10" s="50"/>
      <c r="H10" s="50"/>
      <c r="I10" s="52" t="s">
        <v>103</v>
      </c>
      <c r="J10" s="49">
        <f t="shared" si="1"/>
        <v>55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4"/>
      <c r="C11" s="50"/>
      <c r="D11" s="50"/>
      <c r="E11" s="50"/>
      <c r="F11" s="50"/>
      <c r="G11" s="50"/>
      <c r="H11" s="50"/>
      <c r="I11" s="50"/>
      <c r="J11" s="49">
        <f t="shared" si="1"/>
        <v>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4"/>
      <c r="C12" s="50"/>
      <c r="D12" s="50"/>
      <c r="E12" s="50"/>
      <c r="G12" s="50"/>
      <c r="H12" s="50"/>
      <c r="I12" s="50"/>
      <c r="J12" s="49">
        <f t="shared" si="1"/>
        <v>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100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119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7.0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42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51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84" t="s">
        <v>121</v>
      </c>
      <c r="C9" s="49"/>
      <c r="D9" s="81" t="s">
        <v>103</v>
      </c>
      <c r="E9" s="81"/>
      <c r="F9" s="81" t="s">
        <v>103</v>
      </c>
      <c r="G9" s="81"/>
      <c r="H9" s="49"/>
      <c r="I9" s="49"/>
      <c r="J9" s="49">
        <f t="shared" ref="J9:J14" si="1">if(C9="X",$C$7,0)+if(D9="X",$D$7,0)+if(E9="X",$E$7,0)+if(F9="X",$F$7,0)+if(G9="X",$G$7,0)+if(H9="X",$H$7,0)+if(I9="X",$I$7,0)</f>
        <v>25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9" t="s">
        <v>52</v>
      </c>
      <c r="C10" s="49" t="s">
        <v>103</v>
      </c>
      <c r="D10" s="49"/>
      <c r="E10" s="81"/>
      <c r="F10" s="81"/>
      <c r="G10" s="81" t="s">
        <v>103</v>
      </c>
      <c r="H10" s="49"/>
      <c r="I10" s="49"/>
      <c r="J10" s="49">
        <f t="shared" si="1"/>
        <v>30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9" t="s">
        <v>53</v>
      </c>
      <c r="C11" s="52" t="s">
        <v>103</v>
      </c>
      <c r="D11" s="52"/>
      <c r="E11" s="50"/>
      <c r="F11" s="52" t="s">
        <v>103</v>
      </c>
      <c r="G11" s="50"/>
      <c r="H11" s="50"/>
      <c r="I11" s="52" t="s">
        <v>103</v>
      </c>
      <c r="J11" s="49">
        <f t="shared" si="1"/>
        <v>55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60"/>
      <c r="C12" s="50"/>
      <c r="D12" s="50"/>
      <c r="E12" s="50"/>
      <c r="F12" s="50"/>
      <c r="G12" s="50"/>
      <c r="H12" s="50"/>
      <c r="I12" s="50"/>
      <c r="J12" s="49">
        <f t="shared" si="1"/>
        <v>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122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8.0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42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123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20.0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50">
        <v>1.0</v>
      </c>
      <c r="B9" s="53" t="s">
        <v>55</v>
      </c>
      <c r="C9" s="49" t="s">
        <v>103</v>
      </c>
      <c r="D9" s="81"/>
      <c r="E9" s="49"/>
      <c r="F9" s="49"/>
      <c r="G9" s="81" t="s">
        <v>103</v>
      </c>
      <c r="H9" s="81"/>
      <c r="I9" s="81" t="s">
        <v>103</v>
      </c>
      <c r="J9" s="72">
        <f t="shared" ref="J9:J14" si="1">if(C9="X",$C$7,0)+if(D9="X",$D$7,0)+if(E9="X",$E$7,0)+if(F9="X",$F$7,0)+if(G9="X",$G$7,0)+if(H9="X",$H$7,0)+if(I9="X",$I$7,0)</f>
        <v>40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85" t="s">
        <v>56</v>
      </c>
      <c r="C10" s="52" t="s">
        <v>103</v>
      </c>
      <c r="D10" s="50"/>
      <c r="E10" s="50"/>
      <c r="F10" s="50"/>
      <c r="G10" s="52" t="s">
        <v>103</v>
      </c>
      <c r="H10" s="52" t="s">
        <v>103</v>
      </c>
      <c r="I10" s="50"/>
      <c r="J10" s="72">
        <f t="shared" si="1"/>
        <v>30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57</v>
      </c>
      <c r="C11" s="52" t="s">
        <v>103</v>
      </c>
      <c r="D11" s="50"/>
      <c r="E11" s="50"/>
      <c r="F11" s="52"/>
      <c r="G11" s="52" t="s">
        <v>103</v>
      </c>
      <c r="H11" s="52" t="s">
        <v>103</v>
      </c>
      <c r="I11" s="52"/>
      <c r="J11" s="72">
        <f t="shared" si="1"/>
        <v>30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4"/>
      <c r="C12" s="9"/>
      <c r="D12" s="50"/>
      <c r="E12" s="50"/>
      <c r="F12" s="50"/>
      <c r="G12" s="50"/>
      <c r="H12" s="50"/>
      <c r="I12" s="50"/>
      <c r="J12" s="72">
        <f t="shared" si="1"/>
        <v>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4"/>
      <c r="C13" s="50"/>
      <c r="D13" s="50"/>
      <c r="E13" s="50"/>
      <c r="F13" s="50"/>
      <c r="G13" s="50"/>
      <c r="H13" s="50"/>
      <c r="I13" s="50"/>
      <c r="J13" s="72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9"/>
      <c r="C14" s="50"/>
      <c r="D14" s="50"/>
      <c r="E14" s="50"/>
      <c r="F14" s="50"/>
      <c r="G14" s="50"/>
      <c r="H14" s="50"/>
      <c r="I14" s="50"/>
      <c r="J14" s="72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100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124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9.0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125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59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43">
        <v>15.0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86" t="s">
        <v>60</v>
      </c>
      <c r="C9" s="49" t="s">
        <v>103</v>
      </c>
      <c r="D9" s="49"/>
      <c r="E9" s="49"/>
      <c r="F9" s="49"/>
      <c r="G9" s="81" t="s">
        <v>103</v>
      </c>
      <c r="H9" s="49"/>
      <c r="I9" s="81" t="s">
        <v>103</v>
      </c>
      <c r="J9" s="49">
        <f t="shared" ref="J9:J14" si="1">if(C9="X",$C$7,0)+if(D9="X",$D$7,0)+if(E9="X",$E$7,0)+if(F9="X",$F$7,0)+if(G9="X",$G$7,0)+if(H9="X",$H$7,0)+if(I9="X",$I$7,0)</f>
        <v>35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1" t="s">
        <v>61</v>
      </c>
      <c r="C10" s="52" t="s">
        <v>103</v>
      </c>
      <c r="D10" s="50"/>
      <c r="E10" s="52"/>
      <c r="F10" s="50" t="s">
        <v>103</v>
      </c>
      <c r="G10" s="50"/>
      <c r="H10" s="52" t="s">
        <v>103</v>
      </c>
      <c r="I10" s="52"/>
      <c r="J10" s="49">
        <f t="shared" si="1"/>
        <v>35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62</v>
      </c>
      <c r="C11" s="52" t="s">
        <v>103</v>
      </c>
      <c r="D11" s="50"/>
      <c r="E11" s="50"/>
      <c r="F11" s="50"/>
      <c r="G11" s="50"/>
      <c r="H11" s="50"/>
      <c r="I11" s="52" t="s">
        <v>103</v>
      </c>
      <c r="J11" s="49">
        <f t="shared" si="1"/>
        <v>30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63</v>
      </c>
      <c r="C12" s="52" t="s">
        <v>103</v>
      </c>
      <c r="D12" s="50"/>
      <c r="E12" s="52"/>
      <c r="F12" s="50"/>
      <c r="G12" s="52" t="s">
        <v>103</v>
      </c>
      <c r="H12" s="50"/>
      <c r="I12" s="50"/>
      <c r="J12" s="49">
        <f t="shared" si="1"/>
        <v>20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120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126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10.0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125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64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3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20.0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16" t="s">
        <v>65</v>
      </c>
      <c r="C9" s="49" t="s">
        <v>103</v>
      </c>
      <c r="D9" s="49"/>
      <c r="E9" s="49"/>
      <c r="F9" s="49"/>
      <c r="G9" s="49"/>
      <c r="H9" s="49"/>
      <c r="I9" s="81" t="s">
        <v>103</v>
      </c>
      <c r="J9" s="72">
        <f t="shared" ref="J9:J14" si="1">if(C9="X",$C$7,0)+if(D9="X",$D$7,0)+if(E9="X",$E$7,0)+if(F9="X",$F$7,0)+if(G9="X",$G$7,0)+if(H9="X",$H$7,0)+if(I9="X",$I$7,0)</f>
        <v>35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22" t="s">
        <v>66</v>
      </c>
      <c r="C10" s="50"/>
      <c r="D10" s="52" t="s">
        <v>103</v>
      </c>
      <c r="E10" s="52"/>
      <c r="F10" s="50"/>
      <c r="G10" s="50"/>
      <c r="H10" s="50"/>
      <c r="I10" s="50"/>
      <c r="J10" s="72">
        <f t="shared" si="1"/>
        <v>10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87" t="s">
        <v>67</v>
      </c>
      <c r="C11" s="52" t="s">
        <v>103</v>
      </c>
      <c r="D11" s="50"/>
      <c r="E11" s="50"/>
      <c r="F11" s="50"/>
      <c r="G11" s="52" t="s">
        <v>103</v>
      </c>
      <c r="H11" s="52" t="s">
        <v>103</v>
      </c>
      <c r="I11" s="50"/>
      <c r="J11" s="72">
        <f t="shared" si="1"/>
        <v>30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87" t="s">
        <v>68</v>
      </c>
      <c r="C12" s="19" t="s">
        <v>103</v>
      </c>
      <c r="D12" s="50"/>
      <c r="E12" s="50"/>
      <c r="F12" s="50"/>
      <c r="G12" s="50" t="s">
        <v>103</v>
      </c>
      <c r="H12" s="52" t="s">
        <v>103</v>
      </c>
      <c r="I12" s="50"/>
      <c r="J12" s="72">
        <f t="shared" si="1"/>
        <v>30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9" t="s">
        <v>69</v>
      </c>
      <c r="C13" s="52"/>
      <c r="D13" s="52"/>
      <c r="E13" s="52" t="s">
        <v>103</v>
      </c>
      <c r="F13" s="50"/>
      <c r="G13" s="52" t="s">
        <v>103</v>
      </c>
      <c r="H13" s="52"/>
      <c r="I13" s="50"/>
      <c r="J13" s="72">
        <f t="shared" si="1"/>
        <v>15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72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120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127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11.0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125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129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20.0</v>
      </c>
      <c r="D7" s="45">
        <v>5.0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86" t="s">
        <v>71</v>
      </c>
      <c r="C9" s="49" t="s">
        <v>104</v>
      </c>
      <c r="D9" s="81"/>
      <c r="E9" s="81" t="s">
        <v>103</v>
      </c>
      <c r="F9" s="81" t="s">
        <v>103</v>
      </c>
      <c r="G9" s="49"/>
      <c r="H9" s="49"/>
      <c r="I9" s="81" t="s">
        <v>103</v>
      </c>
      <c r="J9" s="49">
        <f t="shared" ref="J9:J14" si="1">if(C9="X",$C$7,0)+if(D9="X",$D$7,0)+if(E9="X",$E$7,0)+if(F9="X",$F$7,0)+if(G9="X",$G$7,0)+if(H9="X",$H$7,0)+if(I9="X",$I$7,0)</f>
        <v>60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1" t="s">
        <v>72</v>
      </c>
      <c r="C10" s="52" t="s">
        <v>103</v>
      </c>
      <c r="D10" s="50"/>
      <c r="E10" s="50"/>
      <c r="F10" s="50"/>
      <c r="G10" s="50"/>
      <c r="H10" s="52" t="s">
        <v>103</v>
      </c>
      <c r="I10" s="50"/>
      <c r="J10" s="49">
        <f t="shared" si="1"/>
        <v>25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73</v>
      </c>
      <c r="C11" s="52" t="s">
        <v>103</v>
      </c>
      <c r="D11" s="50"/>
      <c r="E11" s="50"/>
      <c r="F11" s="50"/>
      <c r="G11" s="52" t="s">
        <v>103</v>
      </c>
      <c r="H11" s="52" t="s">
        <v>103</v>
      </c>
      <c r="I11" s="50"/>
      <c r="J11" s="49">
        <f t="shared" si="1"/>
        <v>30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130</v>
      </c>
      <c r="C12" s="50"/>
      <c r="D12" s="52" t="s">
        <v>103</v>
      </c>
      <c r="E12" s="50"/>
      <c r="F12" s="50"/>
      <c r="G12" s="50"/>
      <c r="H12" s="50"/>
      <c r="I12" s="50"/>
      <c r="J12" s="49">
        <f t="shared" si="1"/>
        <v>5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120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131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12.0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125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74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20.0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86" t="s">
        <v>75</v>
      </c>
      <c r="C9" s="49" t="s">
        <v>104</v>
      </c>
      <c r="D9" s="49"/>
      <c r="E9" s="49" t="s">
        <v>104</v>
      </c>
      <c r="F9" s="49"/>
      <c r="G9" s="49"/>
      <c r="H9" s="81"/>
      <c r="I9" s="49"/>
      <c r="J9" s="49">
        <f t="shared" ref="J9:J14" si="1">if(C9="X",$C$7,0)+if(D9="X",$D$7,0)+if(E9="X",$E$7,0)+if(F9="X",$F$7,0)+if(G9="X",$G$7,0)+if(H9="X",$H$7,0)+if(I9="X",$I$7,0)</f>
        <v>30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51" t="s">
        <v>76</v>
      </c>
      <c r="C10" s="50" t="s">
        <v>104</v>
      </c>
      <c r="D10" s="52"/>
      <c r="E10" s="50" t="s">
        <v>104</v>
      </c>
      <c r="F10" s="50"/>
      <c r="G10" s="50"/>
      <c r="H10" s="50"/>
      <c r="I10" s="52" t="s">
        <v>103</v>
      </c>
      <c r="J10" s="49">
        <f t="shared" si="1"/>
        <v>45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77</v>
      </c>
      <c r="C11" s="52" t="s">
        <v>103</v>
      </c>
      <c r="D11" s="50"/>
      <c r="E11" s="50"/>
      <c r="F11" s="50" t="s">
        <v>104</v>
      </c>
      <c r="G11" s="50"/>
      <c r="H11" s="50"/>
      <c r="I11" s="50"/>
      <c r="J11" s="49">
        <f t="shared" si="1"/>
        <v>35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60"/>
      <c r="C12" s="50"/>
      <c r="D12" s="50"/>
      <c r="E12" s="50"/>
      <c r="F12" s="50"/>
      <c r="G12" s="50"/>
      <c r="H12" s="50"/>
      <c r="I12" s="50"/>
      <c r="J12" s="49">
        <f t="shared" si="1"/>
        <v>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60"/>
      <c r="C13" s="50"/>
      <c r="D13" s="50"/>
      <c r="E13" s="50"/>
      <c r="F13" s="50"/>
      <c r="G13" s="50"/>
      <c r="H13" s="50"/>
      <c r="I13" s="50"/>
      <c r="J13" s="49">
        <f t="shared" si="1"/>
        <v>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4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110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132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13.0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78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79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3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83">
        <v>20.0</v>
      </c>
      <c r="D7" s="45">
        <v>5.0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16" t="s">
        <v>80</v>
      </c>
      <c r="C9" s="49" t="s">
        <v>104</v>
      </c>
      <c r="D9" s="49"/>
      <c r="E9" s="49"/>
      <c r="F9" s="81" t="s">
        <v>103</v>
      </c>
      <c r="G9" s="49"/>
      <c r="H9" s="81"/>
      <c r="I9" s="81"/>
      <c r="J9" s="49">
        <f t="shared" ref="J9:J14" si="1">if(C9="X",$C$7,0)+if(D9="X",$D$7,0)+if(E9="X",$E$7,0)+if(F9="X",$F$7,0)+if(G9="X",$G$7,0)+if(H9="X",$H$7,0)+if(I9="X",$I$7,0)</f>
        <v>35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16" t="s">
        <v>81</v>
      </c>
      <c r="C10" s="52" t="s">
        <v>103</v>
      </c>
      <c r="D10" s="50"/>
      <c r="E10" s="50"/>
      <c r="F10" s="50" t="s">
        <v>104</v>
      </c>
      <c r="G10" s="50"/>
      <c r="H10" s="50"/>
      <c r="I10" s="52" t="s">
        <v>103</v>
      </c>
      <c r="J10" s="49">
        <f t="shared" si="1"/>
        <v>50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16" t="s">
        <v>82</v>
      </c>
      <c r="C11" s="52" t="s">
        <v>103</v>
      </c>
      <c r="D11" s="52"/>
      <c r="E11" s="52"/>
      <c r="F11" s="50"/>
      <c r="G11" s="50"/>
      <c r="H11" s="52" t="s">
        <v>103</v>
      </c>
      <c r="I11" s="50"/>
      <c r="J11" s="49">
        <f t="shared" si="1"/>
        <v>25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133</v>
      </c>
      <c r="C12" s="50"/>
      <c r="D12" s="52" t="s">
        <v>103</v>
      </c>
      <c r="E12" s="50"/>
      <c r="F12" s="50"/>
      <c r="G12" s="50"/>
      <c r="H12" s="50"/>
      <c r="I12" s="50"/>
      <c r="J12" s="49">
        <f t="shared" si="1"/>
        <v>5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3" t="s">
        <v>134</v>
      </c>
      <c r="C13" s="50"/>
      <c r="D13" s="52" t="s">
        <v>103</v>
      </c>
      <c r="E13" s="50"/>
      <c r="F13" s="50"/>
      <c r="G13" s="50"/>
      <c r="H13" s="50"/>
      <c r="I13" s="50"/>
      <c r="J13" s="49">
        <f t="shared" si="1"/>
        <v>5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88"/>
      <c r="C14" s="50"/>
      <c r="D14" s="50"/>
      <c r="E14" s="50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32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120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32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135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90</v>
      </c>
      <c r="B1" s="27" t="s">
        <v>128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92</v>
      </c>
      <c r="B2" s="29">
        <v>14.0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26" t="s">
        <v>14</v>
      </c>
      <c r="B3" s="80" t="s">
        <v>78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16</v>
      </c>
      <c r="B4" s="58" t="s">
        <v>83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32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3" t="s">
        <v>17</v>
      </c>
      <c r="B6" s="34" t="s">
        <v>93</v>
      </c>
      <c r="C6" s="35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39" t="s">
        <v>97</v>
      </c>
      <c r="L6" s="40" t="s">
        <v>98</v>
      </c>
      <c r="M6" s="41" t="s">
        <v>100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2"/>
      <c r="B7" s="34" t="s">
        <v>101</v>
      </c>
      <c r="C7" s="43">
        <v>15.0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46" t="s">
        <v>102</v>
      </c>
      <c r="L7" s="46" t="s">
        <v>102</v>
      </c>
      <c r="M7" s="15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7"/>
      <c r="B8" s="33" t="s">
        <v>18</v>
      </c>
      <c r="C8" s="47"/>
      <c r="D8" s="47"/>
      <c r="E8" s="47"/>
      <c r="F8" s="47"/>
      <c r="G8" s="47"/>
      <c r="H8" s="47"/>
      <c r="I8" s="47"/>
      <c r="J8" s="47"/>
      <c r="K8" s="17"/>
      <c r="L8" s="17"/>
      <c r="M8" s="1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8">
        <v>1.0</v>
      </c>
      <c r="B9" s="16" t="s">
        <v>84</v>
      </c>
      <c r="C9" s="81" t="s">
        <v>103</v>
      </c>
      <c r="D9" s="49"/>
      <c r="E9" s="49"/>
      <c r="F9" s="49"/>
      <c r="G9" s="81" t="s">
        <v>103</v>
      </c>
      <c r="H9" s="49"/>
      <c r="I9" s="49"/>
      <c r="J9" s="49">
        <f t="shared" ref="J9:J14" si="1">if(C9="X",$C$7,0)+if(D9="X",$D$7,0)+if(E9="X",$E$7,0)+if(F9="X",$F$7,0)+if(G9="X",$G$7,0)+if(H9="X",$H$7,0)+if(I9="X",$I$7,0)</f>
        <v>20</v>
      </c>
      <c r="K9" s="9"/>
      <c r="L9" s="50"/>
      <c r="M9" s="50">
        <f t="shared" ref="M9:M14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0">
        <v>2.0</v>
      </c>
      <c r="B10" s="16" t="s">
        <v>85</v>
      </c>
      <c r="C10" s="52" t="s">
        <v>103</v>
      </c>
      <c r="D10" s="50"/>
      <c r="E10" s="50"/>
      <c r="F10" s="50"/>
      <c r="G10" s="52" t="s">
        <v>103</v>
      </c>
      <c r="H10" s="50"/>
      <c r="I10" s="50"/>
      <c r="J10" s="49">
        <f t="shared" si="1"/>
        <v>20</v>
      </c>
      <c r="K10" s="50"/>
      <c r="L10" s="50"/>
      <c r="M10" s="50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0">
        <v>3.0</v>
      </c>
      <c r="B11" s="51" t="s">
        <v>86</v>
      </c>
      <c r="C11" s="52" t="s">
        <v>103</v>
      </c>
      <c r="D11" s="50"/>
      <c r="E11" s="50"/>
      <c r="F11" s="50"/>
      <c r="G11" s="50"/>
      <c r="H11" s="50"/>
      <c r="I11" s="52" t="s">
        <v>103</v>
      </c>
      <c r="J11" s="49">
        <f t="shared" si="1"/>
        <v>30</v>
      </c>
      <c r="K11" s="50"/>
      <c r="L11" s="50"/>
      <c r="M11" s="50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0">
        <v>4.0</v>
      </c>
      <c r="B12" s="53" t="s">
        <v>87</v>
      </c>
      <c r="C12" s="50"/>
      <c r="D12" s="50"/>
      <c r="E12" s="52"/>
      <c r="F12" s="50"/>
      <c r="G12" s="52" t="s">
        <v>103</v>
      </c>
      <c r="H12" s="52" t="s">
        <v>103</v>
      </c>
      <c r="I12" s="50"/>
      <c r="J12" s="49">
        <f t="shared" si="1"/>
        <v>10</v>
      </c>
      <c r="K12" s="50"/>
      <c r="L12" s="50"/>
      <c r="M12" s="50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0">
        <v>5.0</v>
      </c>
      <c r="B13" s="53" t="s">
        <v>88</v>
      </c>
      <c r="C13" s="52" t="s">
        <v>103</v>
      </c>
      <c r="D13" s="50"/>
      <c r="E13" s="50"/>
      <c r="F13" s="50"/>
      <c r="G13" s="52" t="s">
        <v>103</v>
      </c>
      <c r="H13" s="50"/>
      <c r="I13" s="50"/>
      <c r="J13" s="49">
        <f t="shared" si="1"/>
        <v>20</v>
      </c>
      <c r="K13" s="50"/>
      <c r="L13" s="50"/>
      <c r="M13" s="50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0">
        <v>6.0</v>
      </c>
      <c r="B14" s="51" t="s">
        <v>89</v>
      </c>
      <c r="C14" s="50"/>
      <c r="D14" s="52"/>
      <c r="E14" s="52"/>
      <c r="F14" s="50"/>
      <c r="G14" s="50"/>
      <c r="H14" s="50"/>
      <c r="I14" s="50"/>
      <c r="J14" s="49">
        <f t="shared" si="1"/>
        <v>0</v>
      </c>
      <c r="K14" s="50"/>
      <c r="L14" s="50"/>
      <c r="M14" s="50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55" t="s">
        <v>105</v>
      </c>
      <c r="J15" s="56">
        <f>SUM(J7:J14)</f>
        <v>100</v>
      </c>
      <c r="K15" s="28"/>
      <c r="L15" s="31" t="s">
        <v>106</v>
      </c>
      <c r="M15" s="28">
        <f>sum(M9:M14)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57" t="s">
        <v>107</v>
      </c>
      <c r="B17" s="28"/>
      <c r="C17" s="28"/>
      <c r="D17" s="28"/>
      <c r="E17" s="28"/>
      <c r="F17" s="28"/>
      <c r="G17" s="28"/>
      <c r="H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7" t="s">
        <v>136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7" t="s">
        <v>109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26" t="s">
        <v>90</v>
      </c>
      <c r="B1" s="27" t="s">
        <v>91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ht="15.75" customHeight="1">
      <c r="A2" s="26" t="s">
        <v>92</v>
      </c>
      <c r="B2" s="29">
        <v>1.0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ht="15.75" customHeight="1">
      <c r="A3" s="26" t="s">
        <v>14</v>
      </c>
      <c r="B3" s="89" t="s">
        <v>137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ht="15.75" customHeight="1">
      <c r="A4" s="26" t="s">
        <v>16</v>
      </c>
      <c r="B4" s="31" t="s">
        <v>138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15.75" customHeight="1">
      <c r="A5" s="28"/>
      <c r="B5" s="31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15.75" customHeight="1">
      <c r="A6" s="33" t="s">
        <v>17</v>
      </c>
      <c r="B6" s="90" t="s">
        <v>93</v>
      </c>
      <c r="C6" s="38" t="s">
        <v>94</v>
      </c>
      <c r="D6" s="35" t="s">
        <v>95</v>
      </c>
      <c r="E6" s="35" t="s">
        <v>96</v>
      </c>
      <c r="F6" s="36" t="s">
        <v>97</v>
      </c>
      <c r="G6" s="37"/>
      <c r="H6" s="36" t="s">
        <v>98</v>
      </c>
      <c r="I6" s="37"/>
      <c r="J6" s="38" t="s">
        <v>99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15.75" customHeight="1">
      <c r="A7" s="42"/>
      <c r="B7" s="90" t="s">
        <v>139</v>
      </c>
      <c r="C7" s="43">
        <v>15.0</v>
      </c>
      <c r="D7" s="44">
        <v>10.0</v>
      </c>
      <c r="E7" s="44">
        <v>10.0</v>
      </c>
      <c r="F7" s="44">
        <v>15.0</v>
      </c>
      <c r="G7" s="44">
        <v>5.0</v>
      </c>
      <c r="H7" s="44">
        <v>5.0</v>
      </c>
      <c r="I7" s="44">
        <v>15.0</v>
      </c>
      <c r="J7" s="42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15.75" customHeight="1">
      <c r="A8" s="47"/>
      <c r="B8" s="90" t="s">
        <v>16</v>
      </c>
      <c r="C8" s="47"/>
      <c r="D8" s="47"/>
      <c r="E8" s="47"/>
      <c r="F8" s="47"/>
      <c r="G8" s="47"/>
      <c r="H8" s="47"/>
      <c r="I8" s="47"/>
      <c r="J8" s="4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15.75" customHeight="1">
      <c r="A9" s="48">
        <v>1.0</v>
      </c>
      <c r="B9" s="91" t="s">
        <v>140</v>
      </c>
      <c r="C9" s="28"/>
      <c r="D9" s="48" t="s">
        <v>104</v>
      </c>
      <c r="E9" s="48" t="s">
        <v>104</v>
      </c>
      <c r="F9" s="48"/>
      <c r="G9" s="48"/>
      <c r="H9" s="48" t="s">
        <v>104</v>
      </c>
      <c r="I9" s="48"/>
      <c r="J9" s="48">
        <f t="shared" ref="J9:J14" si="1">if(D9="X",$D$7,0)+if(E9="X",$E$7,0)+if(F9="X",$F$7,0)+if(G9="X",$G$7,0)+if(H9="X",$H$7,0)+if(I9="X",$I$7,0)</f>
        <v>25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15.75" customHeight="1">
      <c r="A10" s="50">
        <v>2.0</v>
      </c>
      <c r="B10" s="92" t="s">
        <v>141</v>
      </c>
      <c r="C10" s="50"/>
      <c r="D10" s="50" t="s">
        <v>104</v>
      </c>
      <c r="E10" s="50"/>
      <c r="F10" s="50" t="s">
        <v>104</v>
      </c>
      <c r="G10" s="50"/>
      <c r="H10" s="50"/>
      <c r="I10" s="50"/>
      <c r="J10" s="48">
        <f t="shared" si="1"/>
        <v>25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15.75" customHeight="1">
      <c r="A11" s="50">
        <v>3.0</v>
      </c>
      <c r="B11" s="31" t="s">
        <v>142</v>
      </c>
      <c r="C11" s="28"/>
      <c r="D11" s="50" t="s">
        <v>103</v>
      </c>
      <c r="E11" s="50" t="s">
        <v>103</v>
      </c>
      <c r="F11" s="50"/>
      <c r="G11" s="50"/>
      <c r="H11" s="50" t="s">
        <v>103</v>
      </c>
      <c r="I11" s="50"/>
      <c r="J11" s="48">
        <f t="shared" si="1"/>
        <v>25</v>
      </c>
      <c r="K11" s="28"/>
      <c r="L11" s="31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15.75" customHeight="1">
      <c r="A12" s="50">
        <v>4.0</v>
      </c>
      <c r="B12" s="92" t="s">
        <v>143</v>
      </c>
      <c r="C12" s="50"/>
      <c r="D12" s="50" t="s">
        <v>103</v>
      </c>
      <c r="E12" s="50"/>
      <c r="F12" s="50" t="s">
        <v>103</v>
      </c>
      <c r="G12" s="50"/>
      <c r="H12" s="50"/>
      <c r="I12" s="50"/>
      <c r="J12" s="48">
        <f t="shared" si="1"/>
        <v>25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15.75" customHeight="1">
      <c r="A13" s="50">
        <v>5.0</v>
      </c>
      <c r="B13" s="92" t="s">
        <v>144</v>
      </c>
      <c r="C13" s="50"/>
      <c r="D13" s="50"/>
      <c r="E13" s="50" t="s">
        <v>103</v>
      </c>
      <c r="F13" s="50" t="s">
        <v>103</v>
      </c>
      <c r="G13" s="50"/>
      <c r="H13" s="50"/>
      <c r="I13" s="50"/>
      <c r="J13" s="48">
        <f t="shared" si="1"/>
        <v>25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15.75" customHeight="1">
      <c r="A14" s="50">
        <v>6.0</v>
      </c>
      <c r="B14" s="92" t="s">
        <v>145</v>
      </c>
      <c r="C14" s="50"/>
      <c r="D14" s="50"/>
      <c r="E14" s="50"/>
      <c r="F14" s="50"/>
      <c r="G14" s="50" t="s">
        <v>103</v>
      </c>
      <c r="H14" s="50"/>
      <c r="I14" s="50" t="s">
        <v>103</v>
      </c>
      <c r="J14" s="48">
        <f t="shared" si="1"/>
        <v>20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15.75" customHeight="1">
      <c r="A15" s="28"/>
      <c r="B15" s="31"/>
      <c r="C15" s="28"/>
      <c r="D15" s="28"/>
      <c r="E15" s="28"/>
      <c r="F15" s="28"/>
      <c r="G15" s="28"/>
      <c r="H15" s="93" t="s">
        <v>146</v>
      </c>
      <c r="J15" s="93">
        <f>SUM(J7:J14)</f>
        <v>145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5.75" customHeight="1">
      <c r="A16" s="28"/>
      <c r="B16" s="31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5.75" customHeight="1">
      <c r="A17" s="28"/>
      <c r="B17" s="31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5.75" customHeight="1">
      <c r="A18" s="28"/>
      <c r="B18" s="3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15.75" customHeight="1">
      <c r="A19" s="28"/>
      <c r="B19" s="31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75" customHeight="1">
      <c r="A20" s="28"/>
      <c r="B20" s="3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75" customHeight="1">
      <c r="A21" s="28"/>
      <c r="B21" s="3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15.75" customHeight="1">
      <c r="A22" s="28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75" customHeight="1">
      <c r="A23" s="28"/>
      <c r="B23" s="3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75" customHeight="1">
      <c r="A24" s="28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15.75" customHeight="1">
      <c r="A25" s="28"/>
      <c r="B25" s="31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75" customHeight="1">
      <c r="A26" s="28"/>
      <c r="B26" s="31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75" customHeight="1">
      <c r="A27" s="28"/>
      <c r="B27" s="31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ht="15.75" customHeight="1">
      <c r="A28" s="28"/>
      <c r="B28" s="3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75" customHeight="1">
      <c r="A29" s="28"/>
      <c r="B29" s="31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75" customHeight="1">
      <c r="A30" s="28"/>
      <c r="B30" s="31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ht="15.75" customHeight="1">
      <c r="A31" s="28"/>
      <c r="B31" s="31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75" customHeight="1">
      <c r="A32" s="28"/>
      <c r="B32" s="31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75" customHeight="1">
      <c r="A33" s="28"/>
      <c r="B33" s="3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ht="15.75" customHeight="1">
      <c r="A34" s="28"/>
      <c r="B34" s="31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15.75" customHeight="1">
      <c r="A35" s="28"/>
      <c r="B35" s="31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75" customHeight="1">
      <c r="A36" s="28"/>
      <c r="B36" s="31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75" customHeight="1">
      <c r="A37" s="28"/>
      <c r="B37" s="31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75" customHeight="1">
      <c r="A38" s="28"/>
      <c r="B38" s="31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75" customHeight="1">
      <c r="A39" s="28"/>
      <c r="B39" s="31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75" customHeight="1">
      <c r="A40" s="28"/>
      <c r="B40" s="31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75" customHeight="1">
      <c r="A41" s="28"/>
      <c r="B41" s="31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75" customHeight="1">
      <c r="A42" s="28"/>
      <c r="B42" s="31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75" customHeight="1">
      <c r="A43" s="28"/>
      <c r="B43" s="31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75" customHeight="1">
      <c r="A44" s="28"/>
      <c r="B44" s="31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5.75" customHeight="1">
      <c r="A45" s="28"/>
      <c r="B45" s="31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75" customHeight="1">
      <c r="A46" s="28"/>
      <c r="B46" s="31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75" customHeight="1">
      <c r="A47" s="28"/>
      <c r="B47" s="31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5.75" customHeight="1">
      <c r="A48" s="28"/>
      <c r="B48" s="31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75" customHeight="1">
      <c r="A49" s="28"/>
      <c r="B49" s="31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75" customHeight="1">
      <c r="A50" s="28"/>
      <c r="B50" s="31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75" customHeight="1">
      <c r="A51" s="28"/>
      <c r="B51" s="31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75" customHeight="1">
      <c r="A52" s="28"/>
      <c r="B52" s="31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75" customHeight="1">
      <c r="A53" s="28"/>
      <c r="B53" s="31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75" customHeight="1">
      <c r="A54" s="28"/>
      <c r="B54" s="31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75" customHeight="1">
      <c r="A55" s="28"/>
      <c r="B55" s="31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75" customHeight="1">
      <c r="A56" s="28"/>
      <c r="B56" s="31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75" customHeight="1">
      <c r="A57" s="28"/>
      <c r="B57" s="31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5.75" customHeight="1">
      <c r="A58" s="28"/>
      <c r="B58" s="31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75" customHeight="1">
      <c r="A59" s="28"/>
      <c r="B59" s="31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75" customHeight="1">
      <c r="A60" s="28"/>
      <c r="B60" s="31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75" customHeight="1">
      <c r="A61" s="28"/>
      <c r="B61" s="31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75" customHeight="1">
      <c r="A62" s="28"/>
      <c r="B62" s="31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75" customHeight="1">
      <c r="A63" s="28"/>
      <c r="B63" s="31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75" customHeight="1">
      <c r="A64" s="28"/>
      <c r="B64" s="3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75" customHeight="1">
      <c r="A65" s="28"/>
      <c r="B65" s="31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5.75" customHeight="1">
      <c r="A66" s="28"/>
      <c r="B66" s="31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75" customHeight="1">
      <c r="A67" s="28"/>
      <c r="B67" s="31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75" customHeight="1">
      <c r="A68" s="28"/>
      <c r="B68" s="31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5.75" customHeight="1">
      <c r="A69" s="28"/>
      <c r="B69" s="31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75" customHeight="1">
      <c r="A70" s="28"/>
      <c r="B70" s="3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75" customHeight="1">
      <c r="A71" s="28"/>
      <c r="B71" s="31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5.75" customHeight="1">
      <c r="A72" s="28"/>
      <c r="B72" s="3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15.75" customHeight="1">
      <c r="A73" s="28"/>
      <c r="B73" s="31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ht="15.75" customHeight="1">
      <c r="A74" s="28"/>
      <c r="B74" s="31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ht="15.75" customHeight="1">
      <c r="A75" s="28"/>
      <c r="B75" s="31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ht="15.75" customHeight="1">
      <c r="A76" s="28"/>
      <c r="B76" s="31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ht="15.75" customHeight="1">
      <c r="A77" s="28"/>
      <c r="B77" s="31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ht="15.75" customHeight="1">
      <c r="A78" s="28"/>
      <c r="B78" s="31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ht="15.75" customHeight="1">
      <c r="A79" s="28"/>
      <c r="B79" s="31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ht="15.75" customHeight="1">
      <c r="A80" s="28"/>
      <c r="B80" s="31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ht="15.75" customHeight="1">
      <c r="A81" s="28"/>
      <c r="B81" s="31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ht="15.75" customHeight="1">
      <c r="A82" s="28"/>
      <c r="B82" s="31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ht="15.75" customHeight="1">
      <c r="A83" s="28"/>
      <c r="B83" s="31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ht="15.75" customHeight="1">
      <c r="A84" s="28"/>
      <c r="B84" s="31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ht="15.75" customHeight="1">
      <c r="A85" s="28"/>
      <c r="B85" s="31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ht="15.75" customHeight="1">
      <c r="A86" s="28"/>
      <c r="B86" s="31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ht="15.75" customHeight="1">
      <c r="A87" s="28"/>
      <c r="B87" s="31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ht="15.75" customHeight="1">
      <c r="A88" s="28"/>
      <c r="B88" s="31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ht="15.75" customHeight="1">
      <c r="A89" s="28"/>
      <c r="B89" s="31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ht="15.75" customHeight="1">
      <c r="A90" s="28"/>
      <c r="B90" s="31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ht="15.75" customHeight="1">
      <c r="A91" s="28"/>
      <c r="B91" s="31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ht="15.75" customHeight="1">
      <c r="A92" s="28"/>
      <c r="B92" s="31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ht="15.75" customHeight="1">
      <c r="A93" s="28"/>
      <c r="B93" s="31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ht="15.75" customHeight="1">
      <c r="A94" s="28"/>
      <c r="B94" s="31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ht="15.75" customHeight="1">
      <c r="A95" s="28"/>
      <c r="B95" s="31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ht="15.75" customHeight="1">
      <c r="A96" s="28"/>
      <c r="B96" s="31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5.75" customHeight="1">
      <c r="A97" s="28"/>
      <c r="B97" s="31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5.75" customHeight="1">
      <c r="A98" s="28"/>
      <c r="B98" s="31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5.75" customHeight="1">
      <c r="A99" s="28"/>
      <c r="B99" s="31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5.75" customHeight="1">
      <c r="A100" s="28"/>
      <c r="B100" s="31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5.75" customHeight="1">
      <c r="A101" s="28"/>
      <c r="B101" s="31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5.75" customHeight="1">
      <c r="A102" s="28"/>
      <c r="B102" s="31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5.75" customHeight="1">
      <c r="A103" s="28"/>
      <c r="B103" s="31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5.75" customHeight="1">
      <c r="A104" s="28"/>
      <c r="B104" s="31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5.75" customHeight="1">
      <c r="A105" s="28"/>
      <c r="B105" s="31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5.75" customHeight="1">
      <c r="A106" s="28"/>
      <c r="B106" s="31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5.75" customHeight="1">
      <c r="A107" s="28"/>
      <c r="B107" s="31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5.75" customHeight="1">
      <c r="A108" s="28"/>
      <c r="B108" s="31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5.75" customHeight="1">
      <c r="A109" s="28"/>
      <c r="B109" s="31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5.75" customHeight="1">
      <c r="A110" s="28"/>
      <c r="B110" s="31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5.75" customHeight="1">
      <c r="A111" s="28"/>
      <c r="B111" s="31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5.75" customHeight="1">
      <c r="A112" s="28"/>
      <c r="B112" s="31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5.75" customHeight="1">
      <c r="A113" s="28"/>
      <c r="B113" s="31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5.75" customHeight="1">
      <c r="A114" s="28"/>
      <c r="B114" s="31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5.75" customHeight="1">
      <c r="A115" s="28"/>
      <c r="B115" s="31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5.75" customHeight="1">
      <c r="A116" s="28"/>
      <c r="B116" s="31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5.75" customHeight="1">
      <c r="A117" s="28"/>
      <c r="B117" s="31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5.75" customHeight="1">
      <c r="A118" s="28"/>
      <c r="B118" s="31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5.75" customHeight="1">
      <c r="A119" s="28"/>
      <c r="B119" s="31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5.75" customHeight="1">
      <c r="A120" s="28"/>
      <c r="B120" s="31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5.75" customHeight="1">
      <c r="A121" s="28"/>
      <c r="B121" s="31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5.75" customHeight="1">
      <c r="A122" s="28"/>
      <c r="B122" s="31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5.75" customHeight="1">
      <c r="A123" s="28"/>
      <c r="B123" s="31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5.75" customHeight="1">
      <c r="A124" s="28"/>
      <c r="B124" s="31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5.75" customHeight="1">
      <c r="A125" s="28"/>
      <c r="B125" s="31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5.75" customHeight="1">
      <c r="A126" s="28"/>
      <c r="B126" s="31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5.75" customHeight="1">
      <c r="A127" s="28"/>
      <c r="B127" s="31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5.75" customHeight="1">
      <c r="A128" s="28"/>
      <c r="B128" s="31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5.75" customHeight="1">
      <c r="A129" s="28"/>
      <c r="B129" s="31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5.75" customHeight="1">
      <c r="A130" s="28"/>
      <c r="B130" s="31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5.75" customHeight="1">
      <c r="A131" s="28"/>
      <c r="B131" s="31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5.75" customHeight="1">
      <c r="A132" s="28"/>
      <c r="B132" s="31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5.75" customHeight="1">
      <c r="A133" s="28"/>
      <c r="B133" s="31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5.75" customHeight="1">
      <c r="A134" s="28"/>
      <c r="B134" s="31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5.75" customHeight="1">
      <c r="A135" s="28"/>
      <c r="B135" s="31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5.75" customHeight="1">
      <c r="A136" s="28"/>
      <c r="B136" s="31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5.75" customHeight="1">
      <c r="A137" s="28"/>
      <c r="B137" s="31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5.75" customHeight="1">
      <c r="A138" s="28"/>
      <c r="B138" s="31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5.75" customHeight="1">
      <c r="A139" s="28"/>
      <c r="B139" s="31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5.75" customHeight="1">
      <c r="A140" s="28"/>
      <c r="B140" s="31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5.75" customHeight="1">
      <c r="A141" s="28"/>
      <c r="B141" s="31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5.75" customHeight="1">
      <c r="A142" s="28"/>
      <c r="B142" s="31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5.75" customHeight="1">
      <c r="A143" s="28"/>
      <c r="B143" s="31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5.75" customHeight="1">
      <c r="A144" s="28"/>
      <c r="B144" s="31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5.75" customHeight="1">
      <c r="A145" s="28"/>
      <c r="B145" s="31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5.75" customHeight="1">
      <c r="A146" s="28"/>
      <c r="B146" s="31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5.75" customHeight="1">
      <c r="A147" s="28"/>
      <c r="B147" s="31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5.75" customHeight="1">
      <c r="A148" s="28"/>
      <c r="B148" s="31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5.75" customHeight="1">
      <c r="A149" s="28"/>
      <c r="B149" s="31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5.75" customHeight="1">
      <c r="A150" s="28"/>
      <c r="B150" s="31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5.75" customHeight="1">
      <c r="A151" s="28"/>
      <c r="B151" s="31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5.75" customHeight="1">
      <c r="A152" s="28"/>
      <c r="B152" s="31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5.75" customHeight="1">
      <c r="A153" s="28"/>
      <c r="B153" s="31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5.75" customHeight="1">
      <c r="A154" s="28"/>
      <c r="B154" s="31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5.75" customHeight="1">
      <c r="A155" s="28"/>
      <c r="B155" s="31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5.75" customHeight="1">
      <c r="A156" s="28"/>
      <c r="B156" s="31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5.75" customHeight="1">
      <c r="A157" s="28"/>
      <c r="B157" s="31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5.75" customHeight="1">
      <c r="A158" s="28"/>
      <c r="B158" s="31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5.75" customHeight="1">
      <c r="A159" s="28"/>
      <c r="B159" s="31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5.75" customHeight="1">
      <c r="A160" s="28"/>
      <c r="B160" s="31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5.75" customHeight="1">
      <c r="A161" s="28"/>
      <c r="B161" s="31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5.75" customHeight="1">
      <c r="A162" s="28"/>
      <c r="B162" s="31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5.75" customHeight="1">
      <c r="A163" s="28"/>
      <c r="B163" s="31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5.75" customHeight="1">
      <c r="A164" s="28"/>
      <c r="B164" s="31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5.75" customHeight="1">
      <c r="A165" s="28"/>
      <c r="B165" s="31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5.75" customHeight="1">
      <c r="A166" s="28"/>
      <c r="B166" s="31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5.75" customHeight="1">
      <c r="A167" s="28"/>
      <c r="B167" s="31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5.75" customHeight="1">
      <c r="A168" s="28"/>
      <c r="B168" s="31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5.75" customHeight="1">
      <c r="A169" s="28"/>
      <c r="B169" s="31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5.75" customHeight="1">
      <c r="A170" s="28"/>
      <c r="B170" s="31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5.75" customHeight="1">
      <c r="A171" s="28"/>
      <c r="B171" s="31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5.75" customHeight="1">
      <c r="A172" s="28"/>
      <c r="B172" s="31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5.75" customHeight="1">
      <c r="A173" s="28"/>
      <c r="B173" s="31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5.75" customHeight="1">
      <c r="A174" s="28"/>
      <c r="B174" s="31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5.75" customHeight="1">
      <c r="A175" s="28"/>
      <c r="B175" s="31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5.75" customHeight="1">
      <c r="A176" s="28"/>
      <c r="B176" s="31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5.75" customHeight="1">
      <c r="A177" s="28"/>
      <c r="B177" s="31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5.75" customHeight="1">
      <c r="A178" s="28"/>
      <c r="B178" s="31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5.75" customHeight="1">
      <c r="A179" s="28"/>
      <c r="B179" s="31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5.75" customHeight="1">
      <c r="A180" s="28"/>
      <c r="B180" s="31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5.75" customHeight="1">
      <c r="A181" s="28"/>
      <c r="B181" s="31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5.75" customHeight="1">
      <c r="A182" s="28"/>
      <c r="B182" s="31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5.75" customHeight="1">
      <c r="A183" s="28"/>
      <c r="B183" s="31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5.75" customHeight="1">
      <c r="A184" s="28"/>
      <c r="B184" s="31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5.75" customHeight="1">
      <c r="A185" s="28"/>
      <c r="B185" s="31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5.75" customHeight="1">
      <c r="A186" s="28"/>
      <c r="B186" s="31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5.75" customHeight="1">
      <c r="A187" s="28"/>
      <c r="B187" s="31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5.75" customHeight="1">
      <c r="A188" s="28"/>
      <c r="B188" s="31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5.75" customHeight="1">
      <c r="A189" s="28"/>
      <c r="B189" s="31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5.75" customHeight="1">
      <c r="A190" s="28"/>
      <c r="B190" s="31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5.75" customHeight="1">
      <c r="A191" s="28"/>
      <c r="B191" s="31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5.75" customHeight="1">
      <c r="A192" s="28"/>
      <c r="B192" s="31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5.75" customHeight="1">
      <c r="A193" s="28"/>
      <c r="B193" s="31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5.75" customHeight="1">
      <c r="A194" s="28"/>
      <c r="B194" s="31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5.75" customHeight="1">
      <c r="A195" s="28"/>
      <c r="B195" s="31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5.75" customHeight="1">
      <c r="A196" s="28"/>
      <c r="B196" s="31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5.75" customHeight="1">
      <c r="A197" s="28"/>
      <c r="B197" s="31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5.75" customHeight="1">
      <c r="A198" s="28"/>
      <c r="B198" s="31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5.75" customHeight="1">
      <c r="A199" s="28"/>
      <c r="B199" s="31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5.75" customHeight="1">
      <c r="A200" s="28"/>
      <c r="B200" s="31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5.75" customHeight="1">
      <c r="A201" s="28"/>
      <c r="B201" s="31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5.75" customHeight="1">
      <c r="A202" s="28"/>
      <c r="B202" s="31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5.75" customHeight="1">
      <c r="A203" s="28"/>
      <c r="B203" s="31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5.75" customHeight="1">
      <c r="A204" s="28"/>
      <c r="B204" s="31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5.75" customHeight="1">
      <c r="A205" s="28"/>
      <c r="B205" s="31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5.75" customHeight="1">
      <c r="A206" s="28"/>
      <c r="B206" s="31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5.75" customHeight="1">
      <c r="A207" s="28"/>
      <c r="B207" s="31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5.75" customHeight="1">
      <c r="A208" s="28"/>
      <c r="B208" s="31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5.75" customHeight="1">
      <c r="A209" s="28"/>
      <c r="B209" s="31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5.75" customHeight="1">
      <c r="A210" s="28"/>
      <c r="B210" s="31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5.75" customHeight="1">
      <c r="A211" s="28"/>
      <c r="B211" s="31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5.75" customHeight="1">
      <c r="A212" s="28"/>
      <c r="B212" s="31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5.75" customHeight="1">
      <c r="A213" s="28"/>
      <c r="B213" s="31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5.75" customHeight="1">
      <c r="A214" s="28"/>
      <c r="B214" s="31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5.75" customHeight="1">
      <c r="A215" s="28"/>
      <c r="B215" s="31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5.75" customHeight="1">
      <c r="A216" s="28"/>
      <c r="B216" s="31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5.75" customHeight="1">
      <c r="A217" s="28"/>
      <c r="B217" s="31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5.75" customHeight="1">
      <c r="A218" s="28"/>
      <c r="B218" s="31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5.75" customHeight="1">
      <c r="A219" s="28"/>
      <c r="B219" s="31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5.75" customHeight="1">
      <c r="A220" s="28"/>
      <c r="B220" s="31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