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<sst xmlns="http://schemas.openxmlformats.org/spreadsheetml/2006/main" count="67" uniqueCount="63">
  <si>
    <t>Universidad de San Carlos de Guatemala
Facultad de Ingeniería</t>
  </si>
  <si>
    <t>Escuela de Ciencias y Sistemas</t>
  </si>
  <si>
    <t>Sistemas de Bases de Datos 1</t>
  </si>
  <si>
    <t>Ing. Luis Fernando Espino Barrios</t>
  </si>
  <si>
    <t>Ing. Álvaro Giovanni Longo</t>
  </si>
  <si>
    <t>Hoja de calificación Proyecto 1</t>
  </si>
  <si>
    <t>Nombre:</t>
  </si>
  <si>
    <t>Carnet:</t>
  </si>
  <si>
    <t>______________________</t>
  </si>
  <si>
    <t>Fecha de calificación:</t>
  </si>
  <si>
    <t>__________</t>
  </si>
  <si>
    <t>Descripcion de Ponderacion</t>
  </si>
  <si>
    <t>Valor</t>
  </si>
  <si>
    <t>Punteo</t>
  </si>
  <si>
    <t>Observación</t>
  </si>
  <si>
    <t>Diseño de Base de Datos</t>
  </si>
  <si>
    <t>Aplicación de las Formas Normales</t>
  </si>
  <si>
    <t>Primera Forma Normal</t>
  </si>
  <si>
    <t>Segunda Forma Normal</t>
  </si>
  <si>
    <t>Tercera Forma Normal</t>
  </si>
  <si>
    <t>Descripción de Relaciones</t>
  </si>
  <si>
    <t>Módelo Conceptual</t>
  </si>
  <si>
    <t>Nomenclatura</t>
  </si>
  <si>
    <t>Módelo Lógico</t>
  </si>
  <si>
    <t>Entidades</t>
  </si>
  <si>
    <t>Relaciones</t>
  </si>
  <si>
    <t>Atributos</t>
  </si>
  <si>
    <t>Módelo Físico</t>
  </si>
  <si>
    <t>Tablas</t>
  </si>
  <si>
    <t>Campos</t>
  </si>
  <si>
    <t>Restricciones</t>
  </si>
  <si>
    <t>Script</t>
  </si>
  <si>
    <t>Documentación</t>
  </si>
  <si>
    <t>Análisis</t>
  </si>
  <si>
    <t>CSV</t>
  </si>
  <si>
    <t>Consultas y API</t>
  </si>
  <si>
    <t>Consultas</t>
  </si>
  <si>
    <t>Consulta 1</t>
  </si>
  <si>
    <t>Consulta 2</t>
  </si>
  <si>
    <t>Consulta 3</t>
  </si>
  <si>
    <t>Consulta 4</t>
  </si>
  <si>
    <t>Consulta 5</t>
  </si>
  <si>
    <t>Consulta 6</t>
  </si>
  <si>
    <t>API</t>
  </si>
  <si>
    <t>Endpoint Usuarios</t>
  </si>
  <si>
    <t>Endpoint Productos</t>
  </si>
  <si>
    <t>Endpoint Ordenes</t>
  </si>
  <si>
    <t>Endpoint Pagos</t>
  </si>
  <si>
    <t>Preguntas</t>
  </si>
  <si>
    <t>Pregunta 1</t>
  </si>
  <si>
    <t>Pregunta 2</t>
  </si>
  <si>
    <t>Penalizaciones</t>
  </si>
  <si>
    <t>Entrada tarde a la calificacion</t>
  </si>
  <si>
    <t>No tener el proyecto listo para presentar</t>
  </si>
  <si>
    <t>No se tiene al tutor agregado en el repositorio</t>
  </si>
  <si>
    <t>Se detecta copia en el proyecto</t>
  </si>
  <si>
    <t xml:space="preserve">TOTAL </t>
  </si>
  <si>
    <t>Estoy conforme con la nota obtenida</t>
  </si>
  <si>
    <t>Firma del estudiante</t>
  </si>
  <si>
    <t>Firma del Tutor</t>
  </si>
  <si>
    <t>Copia para el estudiante</t>
  </si>
  <si>
    <t>Copia tutor Académico</t>
  </si>
  <si>
    <t>(a entregar a Coordinación DTT-ECYS)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</si>
</sst>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9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3" numFmtId="0" xfId="0" applyBorder="1" applyFont="1"/>
    <xf borderId="2" fillId="2" fontId="4" numFmtId="0" xfId="0" applyAlignment="1" applyBorder="1" applyFill="1" applyFont="1">
      <alignment horizontal="center" vertical="bottom"/>
    </xf>
    <xf borderId="3" fillId="0" fontId="3" numFmtId="0" xfId="0" applyBorder="1" applyFont="1"/>
    <xf borderId="3" fillId="2" fontId="4" numFmtId="0" xfId="0" applyAlignment="1" applyBorder="1" applyFill="1" applyFont="1">
      <alignment horizontal="center" vertical="bottom"/>
    </xf>
    <xf borderId="4" fillId="2" fontId="4" numFmtId="0" xfId="0" applyAlignment="1" applyBorder="1" applyFill="1" applyFont="1">
      <alignment horizontal="center" vertical="bottom"/>
    </xf>
    <xf borderId="3" fillId="2" fontId="4" numFmtId="0" xfId="0" applyAlignment="1" applyBorder="1" applyFill="1" applyFont="1">
      <alignment horizontal="center" readingOrder="0" vertical="bottom"/>
    </xf>
    <xf borderId="2" fillId="2" fontId="4" numFmtId="0" xfId="0" applyAlignment="1" applyBorder="1" applyFill="1" applyFont="1">
      <alignment horizontal="center" readingOrder="0" vertical="bottom"/>
    </xf>
    <xf borderId="4" fillId="2" fontId="5" numFmtId="4" xfId="0" applyAlignment="1" applyBorder="1" applyFill="1" applyFont="1" applyNumberFormat="1">
      <alignment vertical="bottom"/>
    </xf>
    <xf borderId="3" fillId="2" fontId="5" numFmtId="0" xfId="0" applyAlignment="1" applyBorder="1" applyFill="1" applyFont="1">
      <alignment vertical="bottom"/>
    </xf>
    <xf borderId="5" fillId="3" fontId="6" numFmtId="0" xfId="0" applyAlignment="1" applyBorder="1" applyFill="1" applyFont="1">
      <alignment readingOrder="0" vertical="bottom"/>
    </xf>
    <xf borderId="3" fillId="3" fontId="6" numFmtId="0" xfId="0" applyAlignment="1" applyBorder="1" applyFill="1" applyFont="1">
      <alignment horizontal="center" readingOrder="0" vertical="bottom"/>
    </xf>
    <xf borderId="4" fillId="3" fontId="5" numFmtId="4" xfId="0" applyAlignment="1" applyBorder="1" applyFill="1" applyFont="1" applyNumberFormat="1">
      <alignment vertical="bottom"/>
    </xf>
    <xf borderId="3" fillId="3" fontId="6" numFmtId="0" xfId="0" applyAlignment="1" applyBorder="1" applyFill="1" applyFont="1">
      <alignment horizontal="center" vertical="bottom"/>
    </xf>
    <xf borderId="5" fillId="3" fontId="5" numFmtId="0" xfId="0" applyAlignment="1" applyBorder="1" applyFill="1" applyFont="1">
      <alignment readingOrder="0" vertical="bottom"/>
    </xf>
    <xf borderId="3" fillId="3" fontId="5" numFmtId="0" xfId="0" applyAlignment="1" applyBorder="1" applyFill="1" applyFont="1">
      <alignment horizontal="center" readingOrder="0" vertical="bottom"/>
    </xf>
    <xf borderId="6" fillId="3" fontId="6" numFmtId="0" xfId="0" applyAlignment="1" applyBorder="1" applyFill="1" applyFont="1">
      <alignment readingOrder="0" vertical="bottom"/>
    </xf>
    <xf borderId="7" fillId="0" fontId="3" numFmtId="0" xfId="0" applyBorder="1" applyFont="1"/>
    <xf borderId="2" fillId="4" fontId="5" numFmtId="0" xfId="0" applyAlignment="1" applyBorder="1" applyFill="1" applyFont="1">
      <alignment readingOrder="0" vertical="bottom"/>
    </xf>
    <xf borderId="4" fillId="5" fontId="5" numFmtId="0" xfId="0" applyAlignment="1" applyBorder="1" applyFill="1" applyFont="1">
      <alignment horizontal="center" readingOrder="0" vertical="bottom"/>
    </xf>
    <xf borderId="3" fillId="4" fontId="5" numFmtId="0" xfId="0" applyAlignment="1" applyBorder="1" applyFill="1" applyFont="1">
      <alignment readingOrder="0" vertical="bottom"/>
    </xf>
    <xf borderId="2" fillId="3" fontId="6" numFmtId="0" xfId="0" applyAlignment="1" applyBorder="1" applyFill="1" applyFont="1">
      <alignment readingOrder="0" vertical="bottom"/>
    </xf>
    <xf borderId="3" fillId="3" fontId="5" numFmtId="0" xfId="0" applyAlignment="1" applyBorder="1" applyFill="1" applyFont="1">
      <alignment readingOrder="0" vertical="bottom"/>
    </xf>
    <xf borderId="3" fillId="4" fontId="5" numFmtId="0" xfId="0" applyAlignment="1" applyBorder="1" applyFill="1" applyFont="1">
      <alignment vertical="bottom"/>
    </xf>
    <xf borderId="3" fillId="3" fontId="5" numFmtId="0" xfId="0" applyAlignment="1" applyBorder="1" applyFill="1" applyFont="1">
      <alignment vertical="bottom"/>
    </xf>
    <xf borderId="6" fillId="2" fontId="4" numFmtId="0" xfId="0" applyAlignment="1" applyBorder="1" applyFill="1" applyFont="1">
      <alignment horizontal="center" readingOrder="0" vertical="bottom"/>
    </xf>
    <xf borderId="7" fillId="2" fontId="4" numFmtId="0" xfId="0" applyAlignment="1" applyBorder="1" applyFill="1" applyFont="1">
      <alignment horizontal="center" readingOrder="0" vertical="bottom"/>
    </xf>
    <xf borderId="7" fillId="2" fontId="5" numFmtId="0" xfId="0" applyAlignment="1" applyBorder="1" applyFill="1" applyFont="1">
      <alignment vertical="bottom"/>
    </xf>
    <xf borderId="6" fillId="4" fontId="5" numFmtId="0" xfId="0" applyAlignment="1" applyBorder="1" applyFill="1" applyFont="1">
      <alignment readingOrder="0" vertical="bottom"/>
    </xf>
    <xf borderId="6" fillId="2" fontId="4" numFmtId="0" xfId="0" applyAlignment="1" applyBorder="1" applyFill="1" applyFont="1">
      <alignment vertical="bottom"/>
    </xf>
    <xf borderId="7" fillId="2" fontId="4" numFmtId="9" xfId="0" applyAlignment="1" applyBorder="1" applyFill="1" applyFont="1" applyNumberFormat="1">
      <alignment horizontal="center" readingOrder="0" vertical="bottom"/>
    </xf>
    <xf borderId="6" fillId="4" fontId="5" numFmtId="0" xfId="0" applyAlignment="1" applyBorder="1" applyFill="1" applyFont="1">
      <alignment vertical="bottom"/>
    </xf>
    <xf borderId="4" fillId="5" fontId="5" numFmtId="9" xfId="0" applyAlignment="1" applyBorder="1" applyFill="1" applyFont="1" applyNumberFormat="1">
      <alignment horizontal="center" readingOrder="0" vertical="bottom"/>
    </xf>
    <xf borderId="4" fillId="5" fontId="5" numFmtId="9" xfId="0" applyAlignment="1" applyBorder="1" applyFill="1" applyFont="1" applyNumberFormat="1">
      <alignment horizontal="center" vertical="bottom"/>
    </xf>
    <xf borderId="6" fillId="3" fontId="6" numFmtId="0" xfId="0" applyAlignment="1" applyBorder="1" applyFill="1" applyFont="1">
      <alignment vertical="bottom"/>
    </xf>
    <xf borderId="4" fillId="5" fontId="6" numFmtId="0" xfId="0" applyAlignment="1" applyBorder="1" applyFill="1" applyFont="1">
      <alignment horizontal="center" readingOrder="0" vertical="bottom"/>
    </xf>
    <xf borderId="4" fillId="6" fontId="5" numFmtId="0" xfId="0" applyAlignment="1" applyBorder="1" applyFill="1" applyFont="1">
      <alignment horizontal="center" readingOrder="0" vertical="bottom"/>
    </xf>
    <xf borderId="8" fillId="7" fontId="1" numFmtId="0" xfId="0" applyAlignment="1" applyBorder="1" applyFill="1" applyFont="1">
      <alignment horizontal="center" readingOrder="0" vertical="bottom"/>
    </xf>
    <xf borderId="8" fillId="0" fontId="3" numFmtId="0" xfId="0" applyBorder="1" applyFont="1"/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vertical="bottom"/>
    </xf>
    <xf borderId="0" fillId="7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0</xdr:row>
      <xdr:rowOff>200025</xdr:rowOff>
    </xdr:from>
    <xdr:ext cx="1114425" cy="1114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2" max="2" width="32.75"/>
    <col customWidth="1" min="3" max="3" width="9.63"/>
  </cols>
  <sheetData>
    <row r="1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 t="s">
        <v>1</v>
      </c>
      <c r="B2" s="1"/>
      <c r="C2" s="1"/>
      <c r="D2" s="1"/>
      <c r="E2" s="1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2</v>
      </c>
      <c r="B3" s="3"/>
      <c r="C3" s="1"/>
      <c r="D3" s="1"/>
      <c r="E3" s="1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 t="s">
        <v>3</v>
      </c>
      <c r="B4" s="3"/>
      <c r="C4" s="1"/>
      <c r="D4" s="1"/>
      <c r="E4" s="1"/>
      <c r="F4" s="2"/>
      <c r="G4" s="2"/>
      <c r="H4" s="2"/>
      <c r="I4" s="2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" t="s">
        <v>4</v>
      </c>
      <c r="B5" s="1"/>
      <c r="C5" s="1"/>
      <c r="D5" s="1"/>
      <c r="E5" s="1"/>
      <c r="F5" s="2"/>
      <c r="G5" s="2"/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2"/>
      <c r="G6" s="2"/>
      <c r="H6" s="2"/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5" t="s">
        <v>5</v>
      </c>
      <c r="F7" s="2"/>
      <c r="G7" s="3"/>
      <c r="H7" s="3"/>
      <c r="I7" s="6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7" t="s">
        <v>6</v>
      </c>
      <c r="B8" s="8"/>
      <c r="C8" s="9"/>
      <c r="D8" s="9"/>
      <c r="E8" s="2"/>
      <c r="F8" s="2"/>
      <c r="G8" s="2"/>
      <c r="H8" s="2"/>
      <c r="I8" s="2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7" t="s">
        <v>7</v>
      </c>
      <c r="B9" s="4" t="s">
        <v>8</v>
      </c>
      <c r="C9" s="6" t="s">
        <v>9</v>
      </c>
      <c r="E9" s="4" t="s">
        <v>10</v>
      </c>
      <c r="F9" s="2"/>
      <c r="G9" s="2"/>
      <c r="H9" s="3"/>
      <c r="I9" s="3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8"/>
      <c r="B10" s="8"/>
      <c r="C10" s="8"/>
      <c r="D10" s="8"/>
      <c r="E10" s="8"/>
      <c r="F10" s="2"/>
      <c r="G10" s="2"/>
      <c r="H10" s="2"/>
      <c r="I10" s="2"/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0" t="s">
        <v>11</v>
      </c>
      <c r="B11" s="11"/>
      <c r="C11" s="12" t="s">
        <v>12</v>
      </c>
      <c r="D11" s="13" t="s">
        <v>13</v>
      </c>
      <c r="E11" s="14" t="s">
        <v>14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5" t="s">
        <v>15</v>
      </c>
      <c r="B12" s="11"/>
      <c r="C12" s="12">
        <f>SUM(C18,C20,C25,C30,C32,C13)</f>
        <v>45</v>
      </c>
      <c r="D12" s="16"/>
      <c r="E12" s="17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8" t="s">
        <v>16</v>
      </c>
      <c r="B13" s="18"/>
      <c r="C13" s="19">
        <v>8.0</v>
      </c>
      <c r="D13" s="20"/>
      <c r="E13" s="2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2" t="s">
        <v>17</v>
      </c>
      <c r="B14" s="18"/>
      <c r="C14" s="23">
        <v>2.0</v>
      </c>
      <c r="D14" s="20"/>
      <c r="E14" s="2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2" t="s">
        <v>18</v>
      </c>
      <c r="B15" s="18"/>
      <c r="C15" s="23">
        <v>3.0</v>
      </c>
      <c r="D15" s="20"/>
      <c r="E15" s="2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2" t="s">
        <v>19</v>
      </c>
      <c r="B16" s="18"/>
      <c r="C16" s="23">
        <v>3.0</v>
      </c>
      <c r="D16" s="20"/>
      <c r="E16" s="2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8" t="s">
        <v>20</v>
      </c>
      <c r="B17" s="18"/>
      <c r="C17" s="19">
        <v>5.0</v>
      </c>
      <c r="D17" s="20"/>
      <c r="E17" s="2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4" t="s">
        <v>21</v>
      </c>
      <c r="B18" s="25"/>
      <c r="C18" s="19">
        <f>C19</f>
        <v>5</v>
      </c>
      <c r="D18" s="20"/>
      <c r="E18" s="2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6" t="s">
        <v>22</v>
      </c>
      <c r="B19" s="11"/>
      <c r="C19" s="27">
        <v>5.0</v>
      </c>
      <c r="D19" s="27"/>
      <c r="E19" s="2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9" t="s">
        <v>23</v>
      </c>
      <c r="B20" s="11"/>
      <c r="C20" s="19">
        <f>C21+C23+C24+C22</f>
        <v>10</v>
      </c>
      <c r="D20" s="20"/>
      <c r="E20" s="30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6" t="s">
        <v>24</v>
      </c>
      <c r="B21" s="11"/>
      <c r="C21" s="27">
        <v>1.0</v>
      </c>
      <c r="D21" s="27"/>
      <c r="E21" s="3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6" t="s">
        <v>22</v>
      </c>
      <c r="B22" s="11"/>
      <c r="C22" s="27">
        <v>1.0</v>
      </c>
      <c r="D22" s="27"/>
      <c r="E22" s="3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6" t="s">
        <v>25</v>
      </c>
      <c r="B23" s="11"/>
      <c r="C23" s="27">
        <v>4.0</v>
      </c>
      <c r="D23" s="27"/>
      <c r="E23" s="3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6" t="s">
        <v>26</v>
      </c>
      <c r="B24" s="11"/>
      <c r="C24" s="27">
        <v>4.0</v>
      </c>
      <c r="D24" s="27"/>
      <c r="E24" s="3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9" t="s">
        <v>27</v>
      </c>
      <c r="B25" s="11"/>
      <c r="C25" s="19">
        <f>C26+C28+C29+C27</f>
        <v>10</v>
      </c>
      <c r="D25" s="20"/>
      <c r="E25" s="3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6" t="s">
        <v>22</v>
      </c>
      <c r="B26" s="11"/>
      <c r="C26" s="27">
        <v>1.0</v>
      </c>
      <c r="D26" s="27"/>
      <c r="E26" s="3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6" t="s">
        <v>28</v>
      </c>
      <c r="B27" s="11"/>
      <c r="C27" s="27">
        <v>1.0</v>
      </c>
      <c r="D27" s="27"/>
      <c r="E27" s="31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6" t="s">
        <v>29</v>
      </c>
      <c r="B28" s="11"/>
      <c r="C28" s="27">
        <v>4.0</v>
      </c>
      <c r="D28" s="27"/>
      <c r="E28" s="3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6" t="s">
        <v>30</v>
      </c>
      <c r="B29" s="11"/>
      <c r="C29" s="27">
        <v>4.0</v>
      </c>
      <c r="D29" s="27"/>
      <c r="E29" s="3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9" t="s">
        <v>31</v>
      </c>
      <c r="B30" s="11"/>
      <c r="C30" s="19">
        <f>C31</f>
        <v>7</v>
      </c>
      <c r="D30" s="20"/>
      <c r="E30" s="3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6" t="s">
        <v>22</v>
      </c>
      <c r="B31" s="11"/>
      <c r="C31" s="27">
        <v>7.0</v>
      </c>
      <c r="D31" s="27"/>
      <c r="E31" s="3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9" t="s">
        <v>32</v>
      </c>
      <c r="B32" s="11"/>
      <c r="C32" s="19">
        <f>C33+C34+C35</f>
        <v>5</v>
      </c>
      <c r="D32" s="20"/>
      <c r="E32" s="3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6" t="s">
        <v>33</v>
      </c>
      <c r="B33" s="11"/>
      <c r="C33" s="27">
        <v>2.0</v>
      </c>
      <c r="D33" s="27"/>
      <c r="E33" s="3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6" t="s">
        <v>28</v>
      </c>
      <c r="B34" s="11"/>
      <c r="C34" s="27">
        <v>2.0</v>
      </c>
      <c r="D34" s="27"/>
      <c r="E34" s="3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6" t="s">
        <v>34</v>
      </c>
      <c r="B35" s="11"/>
      <c r="C35" s="27">
        <v>1.0</v>
      </c>
      <c r="D35" s="27"/>
      <c r="E35" s="3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15" t="s">
        <v>35</v>
      </c>
      <c r="B36" s="11"/>
      <c r="C36" s="12">
        <f>SUM(C37,C44)</f>
        <v>50</v>
      </c>
      <c r="D36" s="16"/>
      <c r="E36" s="17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4" t="s">
        <v>36</v>
      </c>
      <c r="B37" s="25"/>
      <c r="C37" s="19">
        <f>SUM(C38:C43)</f>
        <v>30</v>
      </c>
      <c r="D37" s="20"/>
      <c r="E37" s="2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6" t="s">
        <v>37</v>
      </c>
      <c r="B38" s="11"/>
      <c r="C38" s="27">
        <v>5.0</v>
      </c>
      <c r="D38" s="27"/>
      <c r="E38" s="3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6" t="s">
        <v>38</v>
      </c>
      <c r="B39" s="11"/>
      <c r="C39" s="27">
        <v>5.0</v>
      </c>
      <c r="D39" s="27"/>
      <c r="E39" s="3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6" t="s">
        <v>39</v>
      </c>
      <c r="B40" s="11"/>
      <c r="C40" s="27">
        <v>5.0</v>
      </c>
      <c r="D40" s="27"/>
      <c r="E40" s="3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6" t="s">
        <v>40</v>
      </c>
      <c r="B41" s="11"/>
      <c r="C41" s="27">
        <v>5.0</v>
      </c>
      <c r="D41" s="27"/>
      <c r="E41" s="3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6" t="s">
        <v>41</v>
      </c>
      <c r="B42" s="11"/>
      <c r="C42" s="27">
        <v>5.0</v>
      </c>
      <c r="D42" s="27"/>
      <c r="E42" s="3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6" t="s">
        <v>42</v>
      </c>
      <c r="B43" s="11"/>
      <c r="C43" s="27">
        <v>5.0</v>
      </c>
      <c r="D43" s="27"/>
      <c r="E43" s="3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9" t="s">
        <v>43</v>
      </c>
      <c r="B44" s="11"/>
      <c r="C44" s="19">
        <f>SUM(C45:C48)</f>
        <v>20</v>
      </c>
      <c r="D44" s="20"/>
      <c r="E44" s="3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6" t="s">
        <v>44</v>
      </c>
      <c r="B45" s="11"/>
      <c r="C45" s="27">
        <v>5.0</v>
      </c>
      <c r="D45" s="27"/>
      <c r="E45" s="3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6" t="s">
        <v>45</v>
      </c>
      <c r="B46" s="11"/>
      <c r="C46" s="27">
        <v>5.0</v>
      </c>
      <c r="D46" s="27"/>
      <c r="E46" s="3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6" t="s">
        <v>46</v>
      </c>
      <c r="B47" s="11"/>
      <c r="C47" s="27">
        <v>5.0</v>
      </c>
      <c r="D47" s="27"/>
      <c r="E47" s="3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6" t="s">
        <v>47</v>
      </c>
      <c r="B48" s="11"/>
      <c r="C48" s="27">
        <v>5.0</v>
      </c>
      <c r="D48" s="27"/>
      <c r="E48" s="3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3" t="s">
        <v>48</v>
      </c>
      <c r="B49" s="25"/>
      <c r="C49" s="34">
        <f>C50+C51</f>
        <v>5</v>
      </c>
      <c r="D49" s="16"/>
      <c r="E49" s="3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6" t="s">
        <v>49</v>
      </c>
      <c r="B50" s="25"/>
      <c r="C50" s="27">
        <v>2.0</v>
      </c>
      <c r="D50" s="27"/>
      <c r="E50" s="3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6" t="s">
        <v>50</v>
      </c>
      <c r="B51" s="25"/>
      <c r="C51" s="27">
        <v>3.0</v>
      </c>
      <c r="D51" s="27"/>
      <c r="E51" s="3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7" t="s">
        <v>51</v>
      </c>
      <c r="B52" s="25"/>
      <c r="C52" s="38">
        <v>0.0</v>
      </c>
      <c r="D52" s="16"/>
      <c r="E52" s="3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9" t="s">
        <v>52</v>
      </c>
      <c r="B53" s="25"/>
      <c r="C53" s="40">
        <v>-0.15</v>
      </c>
      <c r="D53" s="27"/>
      <c r="E53" s="31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9" t="s">
        <v>53</v>
      </c>
      <c r="B54" s="25"/>
      <c r="C54" s="40">
        <v>-0.15</v>
      </c>
      <c r="D54" s="27"/>
      <c r="E54" s="3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6" t="s">
        <v>54</v>
      </c>
      <c r="B55" s="25"/>
      <c r="C55" s="41">
        <v>-0.5</v>
      </c>
      <c r="D55" s="27"/>
      <c r="E55" s="31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6" t="s">
        <v>55</v>
      </c>
      <c r="B56" s="25"/>
      <c r="C56" s="40">
        <v>-1.0</v>
      </c>
      <c r="D56" s="27"/>
      <c r="E56" s="31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42" t="s">
        <v>56</v>
      </c>
      <c r="B57" s="25"/>
      <c r="C57" s="43">
        <f>SUM(C12,C36,C49)</f>
        <v>100</v>
      </c>
      <c r="D57" s="44"/>
      <c r="E57" s="3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 t="s">
        <v>57</v>
      </c>
      <c r="B58" s="2"/>
      <c r="C58" s="2"/>
      <c r="D58" s="2"/>
      <c r="E58" s="2"/>
      <c r="F58" s="2"/>
      <c r="G58" s="1"/>
      <c r="H58" s="2"/>
      <c r="I58" s="2"/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C59" s="2"/>
      <c r="D59" s="2"/>
      <c r="E59" s="2"/>
      <c r="F59" s="2"/>
      <c r="G59" s="2"/>
      <c r="H59" s="2"/>
      <c r="I59" s="2"/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2"/>
      <c r="G60" s="2"/>
      <c r="I60" s="2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45" t="s">
        <v>58</v>
      </c>
      <c r="C61" s="2"/>
      <c r="D61" s="45" t="s">
        <v>59</v>
      </c>
      <c r="E61" s="46"/>
      <c r="F61" s="2"/>
      <c r="G61" s="2"/>
      <c r="I61" s="2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/>
      <c r="B62" s="2"/>
      <c r="C62" s="2"/>
      <c r="D62" s="3"/>
      <c r="E62" s="2"/>
      <c r="F62" s="3"/>
      <c r="G62" s="3"/>
      <c r="H62" s="3"/>
      <c r="I62" s="3"/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 t="s">
        <v>60</v>
      </c>
      <c r="B63" s="3"/>
      <c r="C63" s="47" t="s">
        <v>61</v>
      </c>
      <c r="D63" s="2"/>
      <c r="E63" s="48"/>
      <c r="F63" s="2"/>
      <c r="G63" s="2"/>
      <c r="H63" s="2"/>
      <c r="I63" s="2"/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4" t="s">
        <v>62</v>
      </c>
      <c r="D64" s="2"/>
      <c r="E64" s="3"/>
      <c r="F64" s="2"/>
      <c r="G64" s="2"/>
      <c r="H64" s="2"/>
      <c r="I64" s="2"/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48"/>
      <c r="E65" s="3"/>
      <c r="F65" s="48"/>
      <c r="G65" s="48"/>
      <c r="H65" s="48"/>
      <c r="I65" s="2"/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49"/>
      <c r="B66" s="2"/>
      <c r="C66" s="2"/>
      <c r="D66" s="2"/>
      <c r="E66" s="2"/>
      <c r="F66" s="2"/>
      <c r="G66" s="2"/>
      <c r="H66" s="2"/>
      <c r="I66" s="2"/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</sheetData>
  <mergeCells count="46">
    <mergeCell ref="A7:E7"/>
    <mergeCell ref="B8:D8"/>
    <mergeCell ref="C9:D9"/>
    <mergeCell ref="A11:B11"/>
    <mergeCell ref="A12:B12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5:B55"/>
    <mergeCell ref="A56:B56"/>
    <mergeCell ref="A57:B57"/>
    <mergeCell ref="D61:E61"/>
    <mergeCell ref="A48:B48"/>
    <mergeCell ref="A49:B49"/>
    <mergeCell ref="A50:B50"/>
    <mergeCell ref="A51:B51"/>
    <mergeCell ref="A52:B52"/>
    <mergeCell ref="A53:B53"/>
    <mergeCell ref="A54:B54"/>
  </mergeCells>
  <printOptions gridLines="1" horizontalCentered="1"/>
  <pageMargins bottom="0.75" footer="0.0" header="0.0" left="0.25" right="0.25" top="0.75"/>
  <pageSetup scale="64" cellComments="atEnd" orientation="portrait" pageOrder="overThenDown"/>
  <drawing r:id="rId1"/>
</worksheet>
</file>